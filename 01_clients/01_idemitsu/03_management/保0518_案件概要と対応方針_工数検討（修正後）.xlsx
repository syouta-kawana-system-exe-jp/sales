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filterPrivacy="1"/>
  <xr:revisionPtr revIDLastSave="0" documentId="13_ncr:1_{09E0E253-ED0D-40AF-98EF-899707A0BD21}" xr6:coauthVersionLast="47" xr6:coauthVersionMax="47" xr10:uidLastSave="{00000000-0000-0000-0000-000000000000}"/>
  <bookViews>
    <workbookView xWindow="-120" yWindow="-16320" windowWidth="29040" windowHeight="15720" firstSheet="1" activeTab="1" xr2:uid="{00000000-000D-0000-FFFF-FFFF00000000}"/>
  </bookViews>
  <sheets>
    <sheet name="修正案" sheetId="3" r:id="rId1"/>
    <sheet name="工数見積" sheetId="6" r:id="rId2"/>
    <sheet name="工数見積_old" sheetId="8" r:id="rId3"/>
    <sheet name="工数見積_bk" sheetId="7" state="hidden" r:id="rId4"/>
    <sheet name="既存不具合対応 (2)" sheetId="4" state="hidden" r:id="rId5"/>
    <sheet name="テーブル構成改善" sheetId="2" state="hidden" r:id="rId6"/>
    <sheet name="取込処理改善" sheetId="1" state="hidden"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6" l="1"/>
  <c r="F19" i="8"/>
  <c r="F20" i="8" s="1"/>
  <c r="F8" i="6"/>
  <c r="G21" i="7" l="1"/>
</calcChain>
</file>

<file path=xl/sharedStrings.xml><?xml version="1.0" encoding="utf-8"?>
<sst xmlns="http://schemas.openxmlformats.org/spreadsheetml/2006/main" count="996" uniqueCount="150">
  <si>
    <t>【ローカルシステム】月報告エクセル（排水シート）の改修について</t>
    <rPh sb="18" eb="20">
      <t>ハイスイ</t>
    </rPh>
    <rPh sb="25" eb="27">
      <t>カイシュウ</t>
    </rPh>
    <phoneticPr fontId="1"/>
  </si>
  <si>
    <t>背景・目的</t>
    <rPh sb="0" eb="2">
      <t>ハイケイ</t>
    </rPh>
    <rPh sb="3" eb="5">
      <t>モクテキ</t>
    </rPh>
    <phoneticPr fontId="1"/>
  </si>
  <si>
    <t>北浜地区の環境データ集計作業には多くの手作業がある。</t>
    <phoneticPr fontId="1"/>
  </si>
  <si>
    <t>データ自動収集のシステムを構築することで作成の効率化と誤報告の防止を図る。</t>
    <phoneticPr fontId="1"/>
  </si>
  <si>
    <t>更に、それぞれで実施している両地区の環境データの効率化と統一化を実現することで業務負担の軽減と更なる生産性向上を図る。</t>
    <phoneticPr fontId="1"/>
  </si>
  <si>
    <t>対応方針</t>
    <rPh sb="0" eb="2">
      <t>タイオウ</t>
    </rPh>
    <rPh sb="2" eb="4">
      <t>ホウシン</t>
    </rPh>
    <phoneticPr fontId="1"/>
  </si>
  <si>
    <t>南浜地区で使用している水質エクセルのシートと、操業データ・品質データを取得しシートに反映する処理を月報告エクセルに実装する。</t>
    <rPh sb="0" eb="2">
      <t>ミナミハマ</t>
    </rPh>
    <rPh sb="2" eb="4">
      <t>チク</t>
    </rPh>
    <rPh sb="5" eb="7">
      <t>シヨウ</t>
    </rPh>
    <rPh sb="11" eb="13">
      <t>スイシツ</t>
    </rPh>
    <rPh sb="23" eb="25">
      <t>ソウギョウ</t>
    </rPh>
    <rPh sb="29" eb="31">
      <t>ヒンシツ</t>
    </rPh>
    <rPh sb="35" eb="37">
      <t>シュトク</t>
    </rPh>
    <rPh sb="42" eb="44">
      <t>ハンエイ</t>
    </rPh>
    <rPh sb="46" eb="48">
      <t>ショリ</t>
    </rPh>
    <rPh sb="49" eb="50">
      <t>ツキ</t>
    </rPh>
    <rPh sb="50" eb="52">
      <t>ホウコク</t>
    </rPh>
    <rPh sb="57" eb="59">
      <t>ジッソウ</t>
    </rPh>
    <phoneticPr fontId="1"/>
  </si>
  <si>
    <t>現時点で実装するシートは下記を想定。</t>
    <rPh sb="0" eb="3">
      <t>ゲンジテン</t>
    </rPh>
    <rPh sb="4" eb="6">
      <t>ジッソウ</t>
    </rPh>
    <rPh sb="12" eb="14">
      <t>カキ</t>
    </rPh>
    <rPh sb="15" eb="17">
      <t>ソウテイ</t>
    </rPh>
    <phoneticPr fontId="1"/>
  </si>
  <si>
    <t>品質データ</t>
    <rPh sb="0" eb="2">
      <t>ヒンシツ</t>
    </rPh>
    <phoneticPr fontId="5"/>
  </si>
  <si>
    <t>操業データ時間（日）</t>
    <rPh sb="0" eb="2">
      <t>ソウギョウ</t>
    </rPh>
    <rPh sb="5" eb="7">
      <t>ジカン</t>
    </rPh>
    <rPh sb="8" eb="9">
      <t>ヒ</t>
    </rPh>
    <phoneticPr fontId="5"/>
  </si>
  <si>
    <t>操業データ日</t>
    <rPh sb="0" eb="2">
      <t>ソウギョウ</t>
    </rPh>
    <rPh sb="5" eb="6">
      <t>ヒ</t>
    </rPh>
    <phoneticPr fontId="5"/>
  </si>
  <si>
    <t>負荷量検証シート</t>
    <rPh sb="0" eb="3">
      <t>フカリョウ</t>
    </rPh>
    <rPh sb="3" eb="5">
      <t>ケンショウ</t>
    </rPh>
    <phoneticPr fontId="5"/>
  </si>
  <si>
    <t>※それぞれどのシートのどの項目が排水シートの項目に紐づくかを利用者様から情報としていただく</t>
    <rPh sb="16" eb="18">
      <t>ハイスイ</t>
    </rPh>
    <rPh sb="22" eb="24">
      <t>コウモク</t>
    </rPh>
    <rPh sb="30" eb="33">
      <t>リヨウシャ</t>
    </rPh>
    <rPh sb="33" eb="34">
      <t>サマ</t>
    </rPh>
    <phoneticPr fontId="1"/>
  </si>
  <si>
    <t>※新規追加する操業データシートの登録内容については利用者様からご提供いただく</t>
    <rPh sb="25" eb="28">
      <t>リヨウシャ</t>
    </rPh>
    <phoneticPr fontId="1"/>
  </si>
  <si>
    <t>※新規追加する負荷量検証シートの内容については利用者様からご提供いただく</t>
    <rPh sb="23" eb="26">
      <t>リヨウシャ</t>
    </rPh>
    <rPh sb="26" eb="27">
      <t>サマ</t>
    </rPh>
    <phoneticPr fontId="1"/>
  </si>
  <si>
    <t>　　→どの項目が紐づくかを情報としていただき、関数については保守側で現行の設定内容を確認して設定する</t>
  </si>
  <si>
    <t>＜品質データ＞</t>
    <rPh sb="1" eb="3">
      <t>ヒンシツ</t>
    </rPh>
    <phoneticPr fontId="1"/>
  </si>
  <si>
    <t>＜操業データ時間（日）＞</t>
    <rPh sb="1" eb="3">
      <t>ソウギョウ</t>
    </rPh>
    <rPh sb="6" eb="8">
      <t>ジカン</t>
    </rPh>
    <rPh sb="9" eb="10">
      <t>ヒ</t>
    </rPh>
    <phoneticPr fontId="5"/>
  </si>
  <si>
    <t>＜操業データ日＞</t>
    <rPh sb="1" eb="3">
      <t>ソウギョウ</t>
    </rPh>
    <rPh sb="6" eb="7">
      <t>ヒ</t>
    </rPh>
    <phoneticPr fontId="5"/>
  </si>
  <si>
    <t>＜負荷量検証シート＞</t>
    <rPh sb="1" eb="4">
      <t>フカリョウ</t>
    </rPh>
    <rPh sb="4" eb="6">
      <t>ケンショウ</t>
    </rPh>
    <phoneticPr fontId="5"/>
  </si>
  <si>
    <t>工程</t>
    <rPh sb="0" eb="2">
      <t>コウテイ</t>
    </rPh>
    <phoneticPr fontId="1"/>
  </si>
  <si>
    <t>タスク</t>
    <phoneticPr fontId="1"/>
  </si>
  <si>
    <t>工数（人日）</t>
    <rPh sb="0" eb="2">
      <t>コウスウ</t>
    </rPh>
    <rPh sb="3" eb="5">
      <t>ニンニチ</t>
    </rPh>
    <phoneticPr fontId="1"/>
  </si>
  <si>
    <t>成果物</t>
    <rPh sb="0" eb="3">
      <t>セイカブツ</t>
    </rPh>
    <phoneticPr fontId="1"/>
  </si>
  <si>
    <t>備考</t>
    <rPh sb="0" eb="2">
      <t>ビコウ</t>
    </rPh>
    <phoneticPr fontId="1"/>
  </si>
  <si>
    <t>調査・要件定義</t>
    <rPh sb="0" eb="2">
      <t>チョウサ</t>
    </rPh>
    <rPh sb="3" eb="5">
      <t>ヨウケン</t>
    </rPh>
    <rPh sb="5" eb="7">
      <t>テイギ</t>
    </rPh>
    <phoneticPr fontId="1"/>
  </si>
  <si>
    <t>水質エクセルの調査</t>
    <rPh sb="0" eb="2">
      <t>スイシツ</t>
    </rPh>
    <rPh sb="7" eb="9">
      <t>チョウサ</t>
    </rPh>
    <phoneticPr fontId="1"/>
  </si>
  <si>
    <t>操業データ自動反映処理の調査</t>
    <rPh sb="0" eb="2">
      <t>ソウギョウ</t>
    </rPh>
    <rPh sb="5" eb="7">
      <t>ジドウ</t>
    </rPh>
    <rPh sb="7" eb="9">
      <t>ハンエイ</t>
    </rPh>
    <rPh sb="9" eb="11">
      <t>ショリ</t>
    </rPh>
    <rPh sb="12" eb="14">
      <t>チョウサ</t>
    </rPh>
    <phoneticPr fontId="1"/>
  </si>
  <si>
    <t>操業データ時間（日）・操業データ日シートの2シート分</t>
    <rPh sb="25" eb="26">
      <t>ブン</t>
    </rPh>
    <phoneticPr fontId="1"/>
  </si>
  <si>
    <t>品質データ自動反映処理の調査</t>
    <rPh sb="0" eb="2">
      <t>ヒンシツ</t>
    </rPh>
    <rPh sb="5" eb="7">
      <t>ジドウ</t>
    </rPh>
    <rPh sb="7" eb="9">
      <t>ハンエイ</t>
    </rPh>
    <rPh sb="9" eb="11">
      <t>ショリ</t>
    </rPh>
    <rPh sb="12" eb="14">
      <t>チョウサ</t>
    </rPh>
    <phoneticPr fontId="1"/>
  </si>
  <si>
    <t>品質データシート</t>
    <rPh sb="0" eb="2">
      <t>ヒンシツ</t>
    </rPh>
    <phoneticPr fontId="1"/>
  </si>
  <si>
    <t>負荷量検証シート内関数の解析</t>
    <rPh sb="0" eb="5">
      <t>フカリョウケンショウ</t>
    </rPh>
    <rPh sb="8" eb="9">
      <t>ナイ</t>
    </rPh>
    <rPh sb="9" eb="11">
      <t>カンスウ</t>
    </rPh>
    <rPh sb="12" eb="14">
      <t>カイセキ</t>
    </rPh>
    <phoneticPr fontId="1"/>
  </si>
  <si>
    <t>仕様検討</t>
    <rPh sb="0" eb="2">
      <t>シヨウ</t>
    </rPh>
    <rPh sb="2" eb="4">
      <t>ケントウ</t>
    </rPh>
    <phoneticPr fontId="1"/>
  </si>
  <si>
    <t>設計</t>
    <rPh sb="0" eb="2">
      <t>セッケイ</t>
    </rPh>
    <phoneticPr fontId="1"/>
  </si>
  <si>
    <t>変更仕様書作成</t>
    <rPh sb="0" eb="5">
      <t>ヘンコウシヨウショ</t>
    </rPh>
    <rPh sb="5" eb="7">
      <t>サクセイ</t>
    </rPh>
    <phoneticPr fontId="1"/>
  </si>
  <si>
    <t>変更仕様書</t>
    <rPh sb="0" eb="5">
      <t>ヘンコウシヨウショ</t>
    </rPh>
    <phoneticPr fontId="1"/>
  </si>
  <si>
    <t>合計</t>
    <rPh sb="0" eb="2">
      <t>ゴウケイ</t>
    </rPh>
    <phoneticPr fontId="1"/>
  </si>
  <si>
    <t>開発</t>
    <rPh sb="0" eb="2">
      <t>カイハツ</t>
    </rPh>
    <phoneticPr fontId="1"/>
  </si>
  <si>
    <t>プログラム修正</t>
    <rPh sb="5" eb="7">
      <t>シュウセイ</t>
    </rPh>
    <phoneticPr fontId="1"/>
  </si>
  <si>
    <t>取込処理実装</t>
    <rPh sb="0" eb="4">
      <t>トリコミショリ</t>
    </rPh>
    <rPh sb="4" eb="6">
      <t>ジッソウ</t>
    </rPh>
    <phoneticPr fontId="1"/>
  </si>
  <si>
    <t>正常処理</t>
    <rPh sb="0" eb="4">
      <t>セイジョウショリ</t>
    </rPh>
    <phoneticPr fontId="1"/>
  </si>
  <si>
    <t>修正後のExcelファイル</t>
    <rPh sb="0" eb="3">
      <t>シュウセイゴ</t>
    </rPh>
    <phoneticPr fontId="1"/>
  </si>
  <si>
    <t>ｴﾗｰ処理</t>
    <rPh sb="3" eb="5">
      <t>ショリ</t>
    </rPh>
    <phoneticPr fontId="1"/>
  </si>
  <si>
    <t>データ自動反映処理実装</t>
    <rPh sb="3" eb="5">
      <t>ジドウ</t>
    </rPh>
    <rPh sb="5" eb="7">
      <t>ハンエイ</t>
    </rPh>
    <rPh sb="7" eb="9">
      <t>ショリ</t>
    </rPh>
    <rPh sb="9" eb="11">
      <t>ジッソウ</t>
    </rPh>
    <phoneticPr fontId="1"/>
  </si>
  <si>
    <t>負荷量検証シート内関数の修正</t>
    <rPh sb="0" eb="2">
      <t>フカ</t>
    </rPh>
    <rPh sb="2" eb="3">
      <t>リョウ</t>
    </rPh>
    <rPh sb="3" eb="5">
      <t>ケンショウ</t>
    </rPh>
    <rPh sb="8" eb="9">
      <t>ナイ</t>
    </rPh>
    <rPh sb="9" eb="11">
      <t>カンスウ</t>
    </rPh>
    <rPh sb="12" eb="14">
      <t>シュウセイ</t>
    </rPh>
    <phoneticPr fontId="1"/>
  </si>
  <si>
    <t>排水シート内関数の追加</t>
    <rPh sb="0" eb="2">
      <t>ハイスイ</t>
    </rPh>
    <rPh sb="5" eb="6">
      <t>ナイ</t>
    </rPh>
    <rPh sb="6" eb="8">
      <t>カンスウ</t>
    </rPh>
    <rPh sb="9" eb="11">
      <t>ツイカ</t>
    </rPh>
    <phoneticPr fontId="1"/>
  </si>
  <si>
    <t>結合テスト</t>
    <rPh sb="0" eb="2">
      <t>ケツゴウ</t>
    </rPh>
    <phoneticPr fontId="1"/>
  </si>
  <si>
    <t>取込処理テスト</t>
    <rPh sb="0" eb="2">
      <t>トリコミ</t>
    </rPh>
    <rPh sb="2" eb="4">
      <t>ショリ</t>
    </rPh>
    <phoneticPr fontId="1"/>
  </si>
  <si>
    <t>結合テスト仕様書兼結果報告書</t>
    <rPh sb="0" eb="2">
      <t>ケツゴウ</t>
    </rPh>
    <rPh sb="5" eb="8">
      <t>シヨウショ</t>
    </rPh>
    <rPh sb="8" eb="9">
      <t>ケン</t>
    </rPh>
    <rPh sb="9" eb="11">
      <t>ケッカ</t>
    </rPh>
    <rPh sb="11" eb="14">
      <t>ホウコクショ</t>
    </rPh>
    <phoneticPr fontId="1"/>
  </si>
  <si>
    <t>データ自動反映処理テスト</t>
    <rPh sb="3" eb="5">
      <t>ジドウ</t>
    </rPh>
    <rPh sb="5" eb="7">
      <t>ハンエイ</t>
    </rPh>
    <rPh sb="7" eb="9">
      <t>ショリ</t>
    </rPh>
    <phoneticPr fontId="1"/>
  </si>
  <si>
    <t>エラー処理テスト</t>
    <rPh sb="3" eb="5">
      <t>ショリ</t>
    </rPh>
    <phoneticPr fontId="1"/>
  </si>
  <si>
    <t>統合テスト</t>
    <rPh sb="0" eb="2">
      <t>トウゴウ</t>
    </rPh>
    <phoneticPr fontId="1"/>
  </si>
  <si>
    <t>受入テスト</t>
    <rPh sb="0" eb="2">
      <t>ウケイレ</t>
    </rPh>
    <phoneticPr fontId="1"/>
  </si>
  <si>
    <t>本稼働</t>
    <rPh sb="0" eb="1">
      <t>ホン</t>
    </rPh>
    <rPh sb="1" eb="3">
      <t>カドウ</t>
    </rPh>
    <phoneticPr fontId="1"/>
  </si>
  <si>
    <t>手順書作成</t>
    <rPh sb="0" eb="3">
      <t>テジュンショ</t>
    </rPh>
    <rPh sb="3" eb="5">
      <t>サクセイ</t>
    </rPh>
    <phoneticPr fontId="1"/>
  </si>
  <si>
    <t>本番作業手順書</t>
    <rPh sb="0" eb="2">
      <t>ホンバン</t>
    </rPh>
    <rPh sb="2" eb="7">
      <t>サギョウテジュンショ</t>
    </rPh>
    <phoneticPr fontId="1"/>
  </si>
  <si>
    <t>本番リリース作業</t>
    <rPh sb="0" eb="2">
      <t>ホンバン</t>
    </rPh>
    <rPh sb="6" eb="8">
      <t>サギョウ</t>
    </rPh>
    <phoneticPr fontId="1"/>
  </si>
  <si>
    <t>初回稼働確認</t>
    <rPh sb="0" eb="4">
      <t>ショカイカドウ</t>
    </rPh>
    <rPh sb="4" eb="6">
      <t>カクニン</t>
    </rPh>
    <phoneticPr fontId="1"/>
  </si>
  <si>
    <t>前提条件：利用者から提供されるタグが全て新IRIS操業品質DBに登録されていること</t>
    <rPh sb="0" eb="2">
      <t>ゼンテイ</t>
    </rPh>
    <rPh sb="2" eb="4">
      <t>ジョウケン</t>
    </rPh>
    <rPh sb="5" eb="8">
      <t>リヨウシャ</t>
    </rPh>
    <rPh sb="10" eb="12">
      <t>テイキョウ</t>
    </rPh>
    <rPh sb="18" eb="19">
      <t>スベ</t>
    </rPh>
    <rPh sb="20" eb="21">
      <t>シン</t>
    </rPh>
    <rPh sb="25" eb="27">
      <t>ソウギョウ</t>
    </rPh>
    <rPh sb="27" eb="29">
      <t>ヒンシツ</t>
    </rPh>
    <rPh sb="32" eb="34">
      <t>トウロク</t>
    </rPh>
    <phoneticPr fontId="1"/>
  </si>
  <si>
    <t>→タグが登録されていないようであれば、対応内容の調査含め別途見積もりが必要</t>
    <rPh sb="4" eb="6">
      <t>トウロク</t>
    </rPh>
    <rPh sb="19" eb="21">
      <t>タイオウ</t>
    </rPh>
    <rPh sb="21" eb="23">
      <t>ナイヨウ</t>
    </rPh>
    <rPh sb="24" eb="26">
      <t>チョウサ</t>
    </rPh>
    <rPh sb="26" eb="27">
      <t>フク</t>
    </rPh>
    <rPh sb="28" eb="30">
      <t>ベット</t>
    </rPh>
    <rPh sb="30" eb="32">
      <t>ミツ</t>
    </rPh>
    <rPh sb="35" eb="37">
      <t>ヒツヨウ</t>
    </rPh>
    <phoneticPr fontId="1"/>
  </si>
  <si>
    <t>4月末にリリースまで完了できる前提</t>
    <rPh sb="1" eb="2">
      <t>ガツ</t>
    </rPh>
    <rPh sb="2" eb="3">
      <t>マツ</t>
    </rPh>
    <rPh sb="10" eb="12">
      <t>カンリョウ</t>
    </rPh>
    <rPh sb="15" eb="17">
      <t>ゼンテイ</t>
    </rPh>
    <phoneticPr fontId="1"/>
  </si>
  <si>
    <t>・開発案件の完了予定日に変更がないこと（現状の完了見込みは4月初旬頃の想定）</t>
    <rPh sb="1" eb="3">
      <t>カイハツ</t>
    </rPh>
    <rPh sb="3" eb="5">
      <t>アンケン</t>
    </rPh>
    <rPh sb="6" eb="11">
      <t>カンリョウヨテイビ</t>
    </rPh>
    <rPh sb="12" eb="14">
      <t>ヘンコウ</t>
    </rPh>
    <rPh sb="20" eb="22">
      <t>ゲンジョウ</t>
    </rPh>
    <rPh sb="23" eb="25">
      <t>カンリョウ</t>
    </rPh>
    <rPh sb="25" eb="27">
      <t>ミコ</t>
    </rPh>
    <rPh sb="30" eb="31">
      <t>ガツ</t>
    </rPh>
    <rPh sb="31" eb="33">
      <t>ショジュン</t>
    </rPh>
    <rPh sb="33" eb="34">
      <t>コロ</t>
    </rPh>
    <rPh sb="35" eb="37">
      <t>ソウテイ</t>
    </rPh>
    <phoneticPr fontId="1"/>
  </si>
  <si>
    <t>・4月中に利用者様の方で受入テストの対応をしていただけること</t>
    <rPh sb="2" eb="4">
      <t>ガツチュウ</t>
    </rPh>
    <rPh sb="5" eb="8">
      <t>リヨウシャ</t>
    </rPh>
    <rPh sb="8" eb="9">
      <t>サマ</t>
    </rPh>
    <rPh sb="10" eb="11">
      <t>ホウ</t>
    </rPh>
    <rPh sb="12" eb="14">
      <t>ウケイレ</t>
    </rPh>
    <rPh sb="18" eb="20">
      <t>タイオウ</t>
    </rPh>
    <phoneticPr fontId="1"/>
  </si>
  <si>
    <t>プロジェクト管理</t>
    <rPh sb="6" eb="8">
      <t>カンリ</t>
    </rPh>
    <phoneticPr fontId="1"/>
  </si>
  <si>
    <t>プロジェクト計画書、課題管理表、WBS、議事録、レビュー記録表</t>
    <rPh sb="6" eb="9">
      <t>ケイカクショ</t>
    </rPh>
    <rPh sb="10" eb="12">
      <t>カダイ</t>
    </rPh>
    <rPh sb="12" eb="15">
      <t>カンリヒョウ</t>
    </rPh>
    <rPh sb="20" eb="23">
      <t>ギジロク</t>
    </rPh>
    <rPh sb="28" eb="30">
      <t>キロク</t>
    </rPh>
    <rPh sb="30" eb="31">
      <t>ヒョウ</t>
    </rPh>
    <phoneticPr fontId="1"/>
  </si>
  <si>
    <t>対応タスク</t>
    <rPh sb="0" eb="2">
      <t>タイオウ</t>
    </rPh>
    <phoneticPr fontId="1"/>
  </si>
  <si>
    <t>不要</t>
    <rPh sb="0" eb="2">
      <t>フヨウ</t>
    </rPh>
    <phoneticPr fontId="1"/>
  </si>
  <si>
    <t>既存不具合修正対応について</t>
    <rPh sb="0" eb="2">
      <t>キゾン</t>
    </rPh>
    <rPh sb="2" eb="5">
      <t>フグアイ</t>
    </rPh>
    <rPh sb="5" eb="7">
      <t>シュウセイ</t>
    </rPh>
    <rPh sb="7" eb="9">
      <t>タイオウ</t>
    </rPh>
    <phoneticPr fontId="1"/>
  </si>
  <si>
    <t>既存不具合とは</t>
    <rPh sb="0" eb="2">
      <t>キゾン</t>
    </rPh>
    <rPh sb="2" eb="5">
      <t>フグアイ</t>
    </rPh>
    <phoneticPr fontId="1"/>
  </si>
  <si>
    <t>新IRISでは、工程試験結果を、装置略号、装置品名略号、試験項目、試料採取日時の四項目で一意にしておりますが、</t>
    <rPh sb="0" eb="1">
      <t>シン</t>
    </rPh>
    <rPh sb="18" eb="20">
      <t>リャクゴウ</t>
    </rPh>
    <phoneticPr fontId="1"/>
  </si>
  <si>
    <t>オフラス・LAB-AIDEでは、工程試験結果を、装置略号、装置品名略号、試験項目、試料採取日時の四項目に加え、周期、用途を追加した計６項目で一意にしております。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8" eb="51">
      <t>ヨンコウモク</t>
    </rPh>
    <rPh sb="52" eb="53">
      <t>クワ</t>
    </rPh>
    <rPh sb="55" eb="57">
      <t>シュウキ</t>
    </rPh>
    <rPh sb="58" eb="60">
      <t>ヨウト</t>
    </rPh>
    <rPh sb="61" eb="63">
      <t>ツイカ</t>
    </rPh>
    <rPh sb="65" eb="66">
      <t>ケイ</t>
    </rPh>
    <rPh sb="67" eb="69">
      <t>コウモク</t>
    </rPh>
    <rPh sb="70" eb="72">
      <t>イチイ</t>
    </rPh>
    <phoneticPr fontId="1"/>
  </si>
  <si>
    <t>そのため、オフラス側では別々に管理できていた工程試験結果が、新IRISでは、周期、用途が違っていても、装置略号、装置品名略号、試験項目、試料採取日時が一致していると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5" eb="77">
      <t>イッチ</t>
    </rPh>
    <phoneticPr fontId="1"/>
  </si>
  <si>
    <t>上書きして、先に連携されていたデータが消滅する状況となっております。</t>
    <rPh sb="0" eb="2">
      <t>ウワガ</t>
    </rPh>
    <rPh sb="6" eb="7">
      <t>サキ</t>
    </rPh>
    <rPh sb="8" eb="10">
      <t>レンケイ</t>
    </rPh>
    <rPh sb="19" eb="21">
      <t>ショウメツ</t>
    </rPh>
    <rPh sb="23" eb="25">
      <t>ジョウキョウ</t>
    </rPh>
    <phoneticPr fontId="1"/>
  </si>
  <si>
    <t>愛知事業所では、この不具合を解消するために、昨年度、テーブル定義の更新を行っております。</t>
    <rPh sb="0" eb="2">
      <t>アイチ</t>
    </rPh>
    <rPh sb="2" eb="5">
      <t>ジギョウショ</t>
    </rPh>
    <rPh sb="10" eb="13">
      <t>フグアイ</t>
    </rPh>
    <rPh sb="14" eb="16">
      <t>カイショウ</t>
    </rPh>
    <rPh sb="22" eb="25">
      <t>サクネンド</t>
    </rPh>
    <rPh sb="30" eb="32">
      <t>テイギ</t>
    </rPh>
    <rPh sb="33" eb="35">
      <t>コウシン</t>
    </rPh>
    <rPh sb="36" eb="37">
      <t>オコナ</t>
    </rPh>
    <phoneticPr fontId="1"/>
  </si>
  <si>
    <t>※以下、項目の背景色が、濃い色がキー項目となります。</t>
    <rPh sb="1" eb="3">
      <t>イカ</t>
    </rPh>
    <rPh sb="4" eb="6">
      <t>コウモク</t>
    </rPh>
    <rPh sb="7" eb="9">
      <t>ハイケイ</t>
    </rPh>
    <rPh sb="9" eb="10">
      <t>ショク</t>
    </rPh>
    <rPh sb="12" eb="13">
      <t>コ</t>
    </rPh>
    <rPh sb="14" eb="15">
      <t>イロ</t>
    </rPh>
    <rPh sb="18" eb="20">
      <t>コウモク</t>
    </rPh>
    <phoneticPr fontId="1"/>
  </si>
  <si>
    <t>連携元</t>
    <rPh sb="0" eb="3">
      <t>レンケイモト</t>
    </rPh>
    <phoneticPr fontId="1"/>
  </si>
  <si>
    <t>オフラス</t>
    <phoneticPr fontId="1"/>
  </si>
  <si>
    <t>連携時刻</t>
    <rPh sb="0" eb="4">
      <t>レンケイジコク</t>
    </rPh>
    <phoneticPr fontId="1"/>
  </si>
  <si>
    <t>装置略号</t>
    <rPh sb="0" eb="2">
      <t>ソウチ</t>
    </rPh>
    <rPh sb="2" eb="4">
      <t>リャクゴウ</t>
    </rPh>
    <phoneticPr fontId="1"/>
  </si>
  <si>
    <t>装置品名略号</t>
    <rPh sb="0" eb="2">
      <t>ソウチ</t>
    </rPh>
    <rPh sb="2" eb="4">
      <t>ヒンメイ</t>
    </rPh>
    <rPh sb="4" eb="6">
      <t>リャクゴウ</t>
    </rPh>
    <phoneticPr fontId="1"/>
  </si>
  <si>
    <t>試験項目</t>
    <rPh sb="0" eb="2">
      <t>シケン</t>
    </rPh>
    <rPh sb="2" eb="4">
      <t>コウモク</t>
    </rPh>
    <phoneticPr fontId="1"/>
  </si>
  <si>
    <t>周期</t>
    <rPh sb="0" eb="2">
      <t>シュウキ</t>
    </rPh>
    <phoneticPr fontId="1"/>
  </si>
  <si>
    <t>用途</t>
    <rPh sb="0" eb="2">
      <t>ヨウト</t>
    </rPh>
    <phoneticPr fontId="1"/>
  </si>
  <si>
    <t>バリュー</t>
    <phoneticPr fontId="1"/>
  </si>
  <si>
    <t>採取日時</t>
    <phoneticPr fontId="1"/>
  </si>
  <si>
    <t>A1</t>
    <phoneticPr fontId="1"/>
  </si>
  <si>
    <t>A1_REG</t>
    <phoneticPr fontId="1"/>
  </si>
  <si>
    <t>SG</t>
    <phoneticPr fontId="1"/>
  </si>
  <si>
    <t>W1</t>
    <phoneticPr fontId="1"/>
  </si>
  <si>
    <t>TES</t>
    <phoneticPr fontId="1"/>
  </si>
  <si>
    <t>SP</t>
    <phoneticPr fontId="1"/>
  </si>
  <si>
    <t>なし</t>
    <phoneticPr fontId="1"/>
  </si>
  <si>
    <t>連携先</t>
    <rPh sb="0" eb="3">
      <t>レンケイサキ</t>
    </rPh>
    <phoneticPr fontId="1"/>
  </si>
  <si>
    <t>新IRIS</t>
    <rPh sb="0" eb="1">
      <t>シン</t>
    </rPh>
    <phoneticPr fontId="1"/>
  </si>
  <si>
    <t>連携後の状態</t>
    <rPh sb="0" eb="3">
      <t>レンケイゴ</t>
    </rPh>
    <rPh sb="4" eb="6">
      <t>ジョウタイ</t>
    </rPh>
    <phoneticPr fontId="1"/>
  </si>
  <si>
    <t>←</t>
    <phoneticPr fontId="1"/>
  </si>
  <si>
    <t>W1のデータが消滅</t>
    <rPh sb="7" eb="9">
      <t>ショウメツ</t>
    </rPh>
    <phoneticPr fontId="1"/>
  </si>
  <si>
    <t>仮に下記の通り、W1とSPが逆に連携されると今度は、SPのデータが消える</t>
    <rPh sb="0" eb="1">
      <t>カリ</t>
    </rPh>
    <rPh sb="2" eb="4">
      <t>カキ</t>
    </rPh>
    <rPh sb="5" eb="6">
      <t>トオ</t>
    </rPh>
    <rPh sb="14" eb="15">
      <t>ギャク</t>
    </rPh>
    <rPh sb="16" eb="18">
      <t>レンケイ</t>
    </rPh>
    <rPh sb="22" eb="24">
      <t>コンド</t>
    </rPh>
    <rPh sb="33" eb="34">
      <t>キ</t>
    </rPh>
    <phoneticPr fontId="1"/>
  </si>
  <si>
    <t>日付時点のデータ</t>
    <rPh sb="0" eb="2">
      <t>ヒヅケ</t>
    </rPh>
    <rPh sb="2" eb="4">
      <t>ジテン</t>
    </rPh>
    <phoneticPr fontId="1"/>
  </si>
  <si>
    <t>SPのデータが消滅</t>
    <rPh sb="7" eb="9">
      <t>ショウメツ</t>
    </rPh>
    <phoneticPr fontId="1"/>
  </si>
  <si>
    <t>データの連携フロー</t>
    <rPh sb="4" eb="6">
      <t>レンケイ</t>
    </rPh>
    <phoneticPr fontId="1"/>
  </si>
  <si>
    <t>通常時</t>
    <rPh sb="0" eb="2">
      <t>ツウジョウ</t>
    </rPh>
    <rPh sb="2" eb="3">
      <t>ジ</t>
    </rPh>
    <phoneticPr fontId="1"/>
  </si>
  <si>
    <t>オフラスDB</t>
    <phoneticPr fontId="1"/>
  </si>
  <si>
    <t>オフラス連携ファイル</t>
    <rPh sb="4" eb="6">
      <t>レンケイ</t>
    </rPh>
    <phoneticPr fontId="1"/>
  </si>
  <si>
    <t>新IRISDB</t>
    <rPh sb="0" eb="1">
      <t>シン</t>
    </rPh>
    <phoneticPr fontId="1"/>
  </si>
  <si>
    <t>→</t>
    <phoneticPr fontId="1"/>
  </si>
  <si>
    <t>↑</t>
    <phoneticPr fontId="1"/>
  </si>
  <si>
    <t>ここで、登録前に既にデータがあるかどうか確認し、</t>
    <rPh sb="4" eb="6">
      <t>トウロク</t>
    </rPh>
    <rPh sb="6" eb="7">
      <t>マエ</t>
    </rPh>
    <rPh sb="8" eb="9">
      <t>スデ</t>
    </rPh>
    <rPh sb="20" eb="22">
      <t>カクニン</t>
    </rPh>
    <phoneticPr fontId="1"/>
  </si>
  <si>
    <t>データが在れば、Update文で上書きする</t>
    <rPh sb="14" eb="15">
      <t>ブン</t>
    </rPh>
    <rPh sb="16" eb="18">
      <t>ウワガ</t>
    </rPh>
    <phoneticPr fontId="1"/>
  </si>
  <si>
    <t>エラー時</t>
    <rPh sb="3" eb="4">
      <t>ジ</t>
    </rPh>
    <phoneticPr fontId="1"/>
  </si>
  <si>
    <t>←下記の処理でロールバックされる為、結果的に取り込まれない</t>
    <rPh sb="1" eb="3">
      <t>カキ</t>
    </rPh>
    <rPh sb="4" eb="6">
      <t>ショリ</t>
    </rPh>
    <rPh sb="16" eb="17">
      <t>タメ</t>
    </rPh>
    <rPh sb="18" eb="20">
      <t>ケッカ</t>
    </rPh>
    <rPh sb="20" eb="21">
      <t>テキ</t>
    </rPh>
    <rPh sb="22" eb="23">
      <t>ト</t>
    </rPh>
    <rPh sb="24" eb="25">
      <t>コ</t>
    </rPh>
    <phoneticPr fontId="1"/>
  </si>
  <si>
    <t>既に同じキー項目があるため一意制約違反のため取り込まれずロールバックする</t>
    <rPh sb="0" eb="1">
      <t>スデ</t>
    </rPh>
    <rPh sb="2" eb="3">
      <t>オナ</t>
    </rPh>
    <rPh sb="6" eb="8">
      <t>コウモク</t>
    </rPh>
    <rPh sb="13" eb="15">
      <t>イチイ</t>
    </rPh>
    <rPh sb="15" eb="19">
      <t>セイヤクイハン</t>
    </rPh>
    <rPh sb="22" eb="23">
      <t>ト</t>
    </rPh>
    <rPh sb="24" eb="25">
      <t>コ</t>
    </rPh>
    <phoneticPr fontId="1"/>
  </si>
  <si>
    <t>B2</t>
    <phoneticPr fontId="1"/>
  </si>
  <si>
    <t>B2_SPR</t>
    <phoneticPr fontId="1"/>
  </si>
  <si>
    <t>上記のエラー発生時点で処理が止まるため取り込まれない</t>
    <rPh sb="0" eb="2">
      <t>ジョウキ</t>
    </rPh>
    <rPh sb="6" eb="8">
      <t>ハッセイ</t>
    </rPh>
    <rPh sb="8" eb="9">
      <t>ジ</t>
    </rPh>
    <rPh sb="9" eb="10">
      <t>テン</t>
    </rPh>
    <rPh sb="11" eb="13">
      <t>ショリ</t>
    </rPh>
    <rPh sb="14" eb="15">
      <t>ト</t>
    </rPh>
    <rPh sb="19" eb="20">
      <t>ト</t>
    </rPh>
    <rPh sb="21" eb="22">
      <t>コ</t>
    </rPh>
    <phoneticPr fontId="1"/>
  </si>
  <si>
    <t>1連携の１レコードごとに存在チェックをしているが</t>
    <rPh sb="1" eb="3">
      <t>レンケイ</t>
    </rPh>
    <rPh sb="12" eb="14">
      <t>ソンザイ</t>
    </rPh>
    <phoneticPr fontId="1"/>
  </si>
  <si>
    <t>この時点で、DB上にデータはないためすべてのレコードで</t>
    <rPh sb="2" eb="4">
      <t>ジテン</t>
    </rPh>
    <rPh sb="8" eb="9">
      <t>ジョウ</t>
    </rPh>
    <phoneticPr fontId="1"/>
  </si>
  <si>
    <t>既存不具合を修正するために、新IRISのキー項目をオフラスに合わせる修正を行います。</t>
    <rPh sb="0" eb="2">
      <t>キゾン</t>
    </rPh>
    <rPh sb="2" eb="5">
      <t>フグアイ</t>
    </rPh>
    <rPh sb="6" eb="8">
      <t>シュウセイ</t>
    </rPh>
    <rPh sb="14" eb="15">
      <t>シン</t>
    </rPh>
    <rPh sb="22" eb="24">
      <t>コウモク</t>
    </rPh>
    <rPh sb="30" eb="31">
      <t>ア</t>
    </rPh>
    <rPh sb="34" eb="36">
      <t>シュウセイ</t>
    </rPh>
    <rPh sb="37" eb="38">
      <t>オコナ</t>
    </rPh>
    <phoneticPr fontId="1"/>
  </si>
  <si>
    <t>インサート文を発行するため、同連携ファイル内で重複しているデータは</t>
    <rPh sb="5" eb="6">
      <t>ブン</t>
    </rPh>
    <rPh sb="7" eb="9">
      <t>ハッコウ</t>
    </rPh>
    <rPh sb="14" eb="15">
      <t>ドウ</t>
    </rPh>
    <rPh sb="15" eb="17">
      <t>レンケイ</t>
    </rPh>
    <rPh sb="21" eb="22">
      <t>ナイ</t>
    </rPh>
    <rPh sb="23" eb="25">
      <t>ジュウフク</t>
    </rPh>
    <phoneticPr fontId="1"/>
  </si>
  <si>
    <t>また、新IRISのキー項目の増加に伴い、取込用実行ファイルと、参照用エクセルツールの修正を行います。</t>
    <rPh sb="3" eb="4">
      <t>シン</t>
    </rPh>
    <rPh sb="11" eb="13">
      <t>コウモク</t>
    </rPh>
    <rPh sb="14" eb="16">
      <t>ゾウカ</t>
    </rPh>
    <rPh sb="17" eb="18">
      <t>トモナ</t>
    </rPh>
    <rPh sb="20" eb="22">
      <t>トリコミ</t>
    </rPh>
    <rPh sb="22" eb="23">
      <t>ヨウ</t>
    </rPh>
    <rPh sb="23" eb="25">
      <t>ジッコウ</t>
    </rPh>
    <rPh sb="31" eb="33">
      <t>サンショウ</t>
    </rPh>
    <rPh sb="33" eb="34">
      <t>ヨウ</t>
    </rPh>
    <rPh sb="42" eb="44">
      <t>シュウセイ</t>
    </rPh>
    <rPh sb="45" eb="46">
      <t>オコナ</t>
    </rPh>
    <phoneticPr fontId="1"/>
  </si>
  <si>
    <t>インサート文を上から一件ずつ取り込むタイミングで一意制約違反となり</t>
    <rPh sb="5" eb="6">
      <t>ブン</t>
    </rPh>
    <rPh sb="7" eb="8">
      <t>ウエ</t>
    </rPh>
    <rPh sb="10" eb="12">
      <t>イッケン</t>
    </rPh>
    <rPh sb="14" eb="15">
      <t>ト</t>
    </rPh>
    <rPh sb="16" eb="17">
      <t>コ</t>
    </rPh>
    <rPh sb="24" eb="28">
      <t>イチイセイヤク</t>
    </rPh>
    <rPh sb="28" eb="30">
      <t>イハン</t>
    </rPh>
    <phoneticPr fontId="1"/>
  </si>
  <si>
    <t>連携ファイルの全データでロールバックされる</t>
    <rPh sb="0" eb="2">
      <t>レンケイ</t>
    </rPh>
    <rPh sb="7" eb="8">
      <t>ゼン</t>
    </rPh>
    <phoneticPr fontId="1"/>
  </si>
  <si>
    <t>キー項目の変更</t>
    <rPh sb="2" eb="4">
      <t>コウモク</t>
    </rPh>
    <rPh sb="5" eb="7">
      <t>ヘンコウ</t>
    </rPh>
    <phoneticPr fontId="1"/>
  </si>
  <si>
    <t>現状</t>
    <rPh sb="0" eb="2">
      <t>ゲンジョウ</t>
    </rPh>
    <phoneticPr fontId="1"/>
  </si>
  <si>
    <t>更新後</t>
    <rPh sb="0" eb="3">
      <t>コウシンゴ</t>
    </rPh>
    <phoneticPr fontId="1"/>
  </si>
  <si>
    <t>上記の通り、周期と用途をキー項目として設定することで、新IRIS側でも下記のように取り込めるようにします。</t>
    <rPh sb="0" eb="2">
      <t>ジョウキ</t>
    </rPh>
    <rPh sb="3" eb="4">
      <t>トオ</t>
    </rPh>
    <rPh sb="6" eb="8">
      <t>シュウキ</t>
    </rPh>
    <rPh sb="9" eb="11">
      <t>ヨウト</t>
    </rPh>
    <rPh sb="14" eb="16">
      <t>コウモク</t>
    </rPh>
    <rPh sb="19" eb="21">
      <t>セッテイ</t>
    </rPh>
    <rPh sb="27" eb="28">
      <t>シン</t>
    </rPh>
    <rPh sb="32" eb="33">
      <t>ガワ</t>
    </rPh>
    <rPh sb="35" eb="37">
      <t>カキ</t>
    </rPh>
    <rPh sb="41" eb="42">
      <t>ト</t>
    </rPh>
    <rPh sb="43" eb="44">
      <t>コ</t>
    </rPh>
    <phoneticPr fontId="1"/>
  </si>
  <si>
    <t>欠損せず、正常に取り込める</t>
    <rPh sb="0" eb="2">
      <t>ケッソン</t>
    </rPh>
    <rPh sb="5" eb="7">
      <t>セイジョウ</t>
    </rPh>
    <rPh sb="8" eb="9">
      <t>ト</t>
    </rPh>
    <rPh sb="10" eb="11">
      <t>コ</t>
    </rPh>
    <phoneticPr fontId="1"/>
  </si>
  <si>
    <t>新IRISでは、工程試験結果を、装置略号、装置品名略号、試験項目、試料採取日の四項目で一意にしておりますが、</t>
    <rPh sb="0" eb="1">
      <t>シン</t>
    </rPh>
    <rPh sb="18" eb="20">
      <t>リャクゴウ</t>
    </rPh>
    <phoneticPr fontId="1"/>
  </si>
  <si>
    <t>オフラス・LAB-AIDEでは、工程試験結果を、装置略号、装置品名略号、試験項目、試料採取日の四項目に加え、周期、用途を追加した計６項目で一意にしております。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3" eb="46">
      <t>サイシュビ</t>
    </rPh>
    <rPh sb="47" eb="50">
      <t>ヨンコウモク</t>
    </rPh>
    <rPh sb="51" eb="52">
      <t>クワ</t>
    </rPh>
    <rPh sb="54" eb="56">
      <t>シュウキ</t>
    </rPh>
    <rPh sb="57" eb="59">
      <t>ヨウト</t>
    </rPh>
    <rPh sb="60" eb="62">
      <t>ツイカ</t>
    </rPh>
    <rPh sb="64" eb="65">
      <t>ケイ</t>
    </rPh>
    <rPh sb="66" eb="68">
      <t>コウモク</t>
    </rPh>
    <rPh sb="69" eb="71">
      <t>イチイ</t>
    </rPh>
    <phoneticPr fontId="1"/>
  </si>
  <si>
    <t>そのため、オフラス側では別々に管理できていた工程試験結果が、新IRISでは、周期、用途が違っていても、装置略号、装置品名略号、試験項目、試料採取日が一致していると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0" eb="73">
      <t>サイシュビ</t>
    </rPh>
    <rPh sb="74" eb="76">
      <t>イッチ</t>
    </rPh>
    <phoneticPr fontId="1"/>
  </si>
  <si>
    <t>採取日</t>
    <rPh sb="0" eb="3">
      <t>サイシュビ</t>
    </rPh>
    <phoneticPr fontId="1"/>
  </si>
  <si>
    <t>データの連携フローとエラー事例</t>
    <rPh sb="4" eb="6">
      <t>レンケイ</t>
    </rPh>
    <rPh sb="13" eb="15">
      <t>ジレイ</t>
    </rPh>
    <phoneticPr fontId="1"/>
  </si>
  <si>
    <t>←下記の処理で一意制約違反が発生した為ロールバックされる為取り込まれない</t>
    <rPh sb="1" eb="3">
      <t>カキ</t>
    </rPh>
    <rPh sb="4" eb="6">
      <t>ショリ</t>
    </rPh>
    <rPh sb="7" eb="13">
      <t>イチイセイヤクイハン</t>
    </rPh>
    <rPh sb="14" eb="16">
      <t>ハッセイ</t>
    </rPh>
    <rPh sb="18" eb="19">
      <t>タメ</t>
    </rPh>
    <rPh sb="28" eb="29">
      <t>タメ</t>
    </rPh>
    <rPh sb="29" eb="30">
      <t>ト</t>
    </rPh>
    <rPh sb="31" eb="32">
      <t>コ</t>
    </rPh>
    <phoneticPr fontId="1"/>
  </si>
  <si>
    <t>既に同じキー項目があるため一意制約違反</t>
    <rPh sb="0" eb="1">
      <t>スデ</t>
    </rPh>
    <rPh sb="2" eb="3">
      <t>オナ</t>
    </rPh>
    <rPh sb="6" eb="8">
      <t>コウモク</t>
    </rPh>
    <rPh sb="13" eb="15">
      <t>イチイ</t>
    </rPh>
    <rPh sb="15" eb="19">
      <t>セイヤクイハン</t>
    </rPh>
    <phoneticPr fontId="1"/>
  </si>
  <si>
    <t>上記のエラー発生時にロールバックされているため取り込まれない</t>
    <rPh sb="0" eb="2">
      <t>ジョウキ</t>
    </rPh>
    <rPh sb="6" eb="8">
      <t>ハッセイ</t>
    </rPh>
    <rPh sb="8" eb="9">
      <t>ジ</t>
    </rPh>
    <rPh sb="23" eb="24">
      <t>ト</t>
    </rPh>
    <rPh sb="25" eb="26">
      <t>コ</t>
    </rPh>
    <phoneticPr fontId="1"/>
  </si>
  <si>
    <t>キーとして追加</t>
    <rPh sb="5" eb="7">
      <t>ツイカ</t>
    </rPh>
    <phoneticPr fontId="1"/>
  </si>
  <si>
    <t>新IRIS工程試験結果取込処理修正対応について</t>
    <rPh sb="0" eb="1">
      <t>シン</t>
    </rPh>
    <rPh sb="5" eb="7">
      <t>コウテイ</t>
    </rPh>
    <rPh sb="7" eb="11">
      <t>シケンケッカ</t>
    </rPh>
    <rPh sb="11" eb="13">
      <t>トリコミ</t>
    </rPh>
    <rPh sb="13" eb="15">
      <t>ショリ</t>
    </rPh>
    <rPh sb="15" eb="17">
      <t>シュウセイ</t>
    </rPh>
    <rPh sb="17" eb="19">
      <t>タイオウ</t>
    </rPh>
    <phoneticPr fontId="1"/>
  </si>
  <si>
    <t>北海道製油所で問い合わせのあった不具合について</t>
    <rPh sb="0" eb="3">
      <t>ホッカイドウ</t>
    </rPh>
    <rPh sb="3" eb="6">
      <t>セイユジョ</t>
    </rPh>
    <rPh sb="7" eb="8">
      <t>ト</t>
    </rPh>
    <rPh sb="9" eb="10">
      <t>ア</t>
    </rPh>
    <rPh sb="16" eb="19">
      <t>フグアイ</t>
    </rPh>
    <phoneticPr fontId="1"/>
  </si>
  <si>
    <t>北海道製油所で問い合わせのあった不具合については、既存不具合を前提とした不具合です。</t>
  </si>
  <si>
    <t>通常、別の連携として、連携されてくれば、キーが同じでも上書き処理します。この時、周期や、用途が違っていても取込は可能です。</t>
    <rPh sb="0" eb="2">
      <t>ツウジョウ</t>
    </rPh>
    <rPh sb="3" eb="4">
      <t>ベツ</t>
    </rPh>
    <rPh sb="5" eb="7">
      <t>レンケイ</t>
    </rPh>
    <rPh sb="11" eb="13">
      <t>レンケイ</t>
    </rPh>
    <rPh sb="23" eb="24">
      <t>オナ</t>
    </rPh>
    <rPh sb="27" eb="29">
      <t>ウワガ</t>
    </rPh>
    <rPh sb="30" eb="32">
      <t>ショリ</t>
    </rPh>
    <rPh sb="38" eb="39">
      <t>トキ</t>
    </rPh>
    <rPh sb="40" eb="42">
      <t>シュウキ</t>
    </rPh>
    <rPh sb="44" eb="46">
      <t>ヨウト</t>
    </rPh>
    <rPh sb="47" eb="48">
      <t>チガ</t>
    </rPh>
    <rPh sb="53" eb="55">
      <t>トリコミ</t>
    </rPh>
    <rPh sb="56" eb="58">
      <t>カノウ</t>
    </rPh>
    <phoneticPr fontId="1"/>
  </si>
  <si>
    <t>今回は、新IRIS側のキー項目(装置略号、装置品名略号、試験項目、採取日)で値が同じデータが、同じ連携ファイルで連携された場合に、</t>
    <rPh sb="0" eb="2">
      <t>コンカイ</t>
    </rPh>
    <rPh sb="4" eb="5">
      <t>シン</t>
    </rPh>
    <rPh sb="9" eb="10">
      <t>ガワ</t>
    </rPh>
    <rPh sb="13" eb="15">
      <t>コウモク</t>
    </rPh>
    <rPh sb="16" eb="18">
      <t>ソウチ</t>
    </rPh>
    <rPh sb="18" eb="20">
      <t>リャクゴウ</t>
    </rPh>
    <rPh sb="21" eb="27">
      <t>ソウチヒンメイリャクゴウ</t>
    </rPh>
    <rPh sb="28" eb="32">
      <t>シケンコウモク</t>
    </rPh>
    <rPh sb="33" eb="36">
      <t>サイシュビ</t>
    </rPh>
    <rPh sb="38" eb="39">
      <t>アタイ</t>
    </rPh>
    <rPh sb="40" eb="41">
      <t>オナ</t>
    </rPh>
    <rPh sb="47" eb="48">
      <t>オナ</t>
    </rPh>
    <rPh sb="49" eb="51">
      <t>レンケイ</t>
    </rPh>
    <rPh sb="56" eb="58">
      <t>レンケイ</t>
    </rPh>
    <rPh sb="61" eb="63">
      <t>バアイ</t>
    </rPh>
    <phoneticPr fontId="1"/>
  </si>
  <si>
    <t>一意制約違反でエラーとなり、処理がロールバックされてしまうため、その連携のデータすべてが取り込まれない事象となります。</t>
    <rPh sb="0" eb="2">
      <t>イチイ</t>
    </rPh>
    <rPh sb="2" eb="4">
      <t>セイヤク</t>
    </rPh>
    <rPh sb="4" eb="6">
      <t>イハン</t>
    </rPh>
    <rPh sb="14" eb="16">
      <t>ショリ</t>
    </rPh>
    <rPh sb="34" eb="36">
      <t>レンケイ</t>
    </rPh>
    <rPh sb="44" eb="45">
      <t>ト</t>
    </rPh>
    <rPh sb="46" eb="47">
      <t>コ</t>
    </rPh>
    <rPh sb="51" eb="53">
      <t>ジショウ</t>
    </rPh>
    <phoneticPr fontId="1"/>
  </si>
  <si>
    <t>対応方針</t>
    <rPh sb="0" eb="4">
      <t>タイオウホウシン</t>
    </rPh>
    <phoneticPr fontId="1"/>
  </si>
  <si>
    <t>取込処理時に一意制約違反が発生した場合、エラーを無視して次の取り込み処理を実施するように修正します。</t>
    <rPh sb="0" eb="5">
      <t>トリコミショリジ</t>
    </rPh>
    <rPh sb="6" eb="12">
      <t>イチイセイヤクイハン</t>
    </rPh>
    <rPh sb="13" eb="15">
      <t>ハッセイ</t>
    </rPh>
    <rPh sb="17" eb="19">
      <t>バアイ</t>
    </rPh>
    <rPh sb="24" eb="26">
      <t>ムシ</t>
    </rPh>
    <rPh sb="28" eb="29">
      <t>ツギ</t>
    </rPh>
    <rPh sb="30" eb="31">
      <t>ト</t>
    </rPh>
    <rPh sb="32" eb="33">
      <t>コ</t>
    </rPh>
    <rPh sb="34" eb="36">
      <t>ショリ</t>
    </rPh>
    <rPh sb="37" eb="39">
      <t>ジッシ</t>
    </rPh>
    <rPh sb="44" eb="46">
      <t>シュウセイ</t>
    </rPh>
    <phoneticPr fontId="1"/>
  </si>
  <si>
    <t>既に同じキー項目があるため一意制約違反のためスキップ</t>
    <rPh sb="0" eb="1">
      <t>スデ</t>
    </rPh>
    <rPh sb="2" eb="3">
      <t>オナ</t>
    </rPh>
    <rPh sb="6" eb="8">
      <t>コウモク</t>
    </rPh>
    <rPh sb="13" eb="15">
      <t>イチイ</t>
    </rPh>
    <rPh sb="15" eb="19">
      <t>セイヤクイハン</t>
    </rPh>
    <phoneticPr fontId="1"/>
  </si>
  <si>
    <t>重複したデータは取り込まれませんが、その他のデータは、取り込まれますが、重複したデータは取り込まれません。</t>
    <rPh sb="0" eb="2">
      <t>ジュウフク</t>
    </rPh>
    <rPh sb="8" eb="9">
      <t>ト</t>
    </rPh>
    <rPh sb="10" eb="11">
      <t>コ</t>
    </rPh>
    <rPh sb="20" eb="21">
      <t>ホカ</t>
    </rPh>
    <rPh sb="27" eb="28">
      <t>ト</t>
    </rPh>
    <rPh sb="29" eb="30">
      <t>コ</t>
    </rPh>
    <rPh sb="36" eb="38">
      <t>ジュウフク</t>
    </rPh>
    <rPh sb="44" eb="45">
      <t>ト</t>
    </rPh>
    <rPh sb="46" eb="47">
      <t>コ</t>
    </rPh>
    <phoneticPr fontId="1"/>
  </si>
  <si>
    <t>この場合、先勝ちとなるため、キー項目が同じデータで、SPが先に上に書かれていれば、SPが登録され、W1が上に書かれていれば、W1が登録されるようになります。</t>
    <rPh sb="2" eb="4">
      <t>バアイ</t>
    </rPh>
    <rPh sb="5" eb="7">
      <t>サキガ</t>
    </rPh>
    <rPh sb="16" eb="18">
      <t>コウモク</t>
    </rPh>
    <rPh sb="19" eb="20">
      <t>オナ</t>
    </rPh>
    <rPh sb="29" eb="30">
      <t>サキ</t>
    </rPh>
    <rPh sb="31" eb="32">
      <t>ウエ</t>
    </rPh>
    <rPh sb="33" eb="34">
      <t>カ</t>
    </rPh>
    <rPh sb="44" eb="46">
      <t>トウロク</t>
    </rPh>
    <rPh sb="52" eb="53">
      <t>ウエ</t>
    </rPh>
    <rPh sb="54" eb="55">
      <t>カ</t>
    </rPh>
    <rPh sb="65" eb="67">
      <t>トウロク</t>
    </rPh>
    <phoneticPr fontId="1"/>
  </si>
  <si>
    <t>懸念事項</t>
    <rPh sb="0" eb="4">
      <t>ケネンジコウ</t>
    </rPh>
    <phoneticPr fontId="1"/>
  </si>
  <si>
    <t>A1:A1_REG:SG:SP:TESのデータを時系列で確認すると、不規則にデータが抜け落ちることになります。このデータについて、リカバリが必要になった際、</t>
    <rPh sb="24" eb="27">
      <t>ジケイレツ</t>
    </rPh>
    <rPh sb="28" eb="30">
      <t>カクニン</t>
    </rPh>
    <rPh sb="34" eb="37">
      <t>フキソク</t>
    </rPh>
    <rPh sb="42" eb="43">
      <t>ヌ</t>
    </rPh>
    <rPh sb="44" eb="45">
      <t>オ</t>
    </rPh>
    <rPh sb="70" eb="72">
      <t>ヒツヨウ</t>
    </rPh>
    <rPh sb="76" eb="77">
      <t>サイ</t>
    </rPh>
    <phoneticPr fontId="1"/>
  </si>
  <si>
    <t>一件ずつ取り込み状況を確認しながら対象を抽出するか、リカバリが必要な期間中の連携をすべて連携し直すか、いずれにしてもリカバリにそれなりの工数と時間がかかることが予想されます。</t>
    <rPh sb="17" eb="19">
      <t>タイショウ</t>
    </rPh>
    <rPh sb="20" eb="22">
      <t>チュウシュツ</t>
    </rPh>
    <rPh sb="31" eb="33">
      <t>ヒツヨウ</t>
    </rPh>
    <rPh sb="34" eb="36">
      <t>キカン</t>
    </rPh>
    <rPh sb="36" eb="37">
      <t>チュウ</t>
    </rPh>
    <rPh sb="38" eb="40">
      <t>レンケイ</t>
    </rPh>
    <rPh sb="44" eb="46">
      <t>レンケイ</t>
    </rPh>
    <rPh sb="47" eb="48">
      <t>ナオ</t>
    </rPh>
    <rPh sb="68" eb="70">
      <t>コウスウ</t>
    </rPh>
    <rPh sb="71" eb="73">
      <t>ジカン</t>
    </rPh>
    <rPh sb="80" eb="82">
      <t>ヨソウ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</si>
</sst>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scheme val="minor"/>
    </font>
    <font>
      <sz val="6"/>
      <name val="游ゴシック"/>
      <family val="3"/>
      <charset val="128"/>
      <scheme val="minor"/>
    </font>
    <font>
      <sz val="11"/>
      <name val="游ゴシック"/>
      <family val="2"/>
      <scheme val="minor"/>
    </font>
    <font>
      <sz val="11"/>
      <name val="游ゴシック"/>
      <family val="3"/>
      <charset val="128"/>
      <scheme val="minor"/>
    </font>
    <font>
      <sz val="11"/>
      <color rgb="FFFF0000"/>
      <name val="游ゴシック"/>
      <family val="3"/>
      <charset val="128"/>
      <scheme val="minor"/>
    </font>
    <font>
      <sz val="6"/>
      <name val="游ゴシック"/>
      <family val="2"/>
      <charset val="128"/>
      <scheme val="minor"/>
    </font>
    <font>
      <sz val="11"/>
      <color rgb="FFFF0000"/>
      <name val="游ゴシック"/>
      <family val="2"/>
      <scheme val="minor"/>
    </font>
  </fonts>
  <fills count="8">
    <fill>
      <patternFill patternType="none"/>
    </fill>
    <fill>
      <patternFill patternType="gray125"/>
    </fill>
    <fill>
      <patternFill patternType="solid">
        <fgColor theme="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rgb="FFFFFF00"/>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60">
    <xf numFmtId="0" fontId="0" fillId="0" borderId="0" xfId="0"/>
    <xf numFmtId="14" fontId="0" fillId="0" borderId="1" xfId="0" applyNumberFormat="1" applyBorder="1"/>
    <xf numFmtId="0" fontId="0" fillId="0" borderId="1" xfId="0" applyBorder="1"/>
    <xf numFmtId="0" fontId="0" fillId="5" borderId="1" xfId="0" applyFill="1" applyBorder="1"/>
    <xf numFmtId="0" fontId="0" fillId="3" borderId="1" xfId="0" applyFill="1" applyBorder="1"/>
    <xf numFmtId="0" fontId="0" fillId="4" borderId="1" xfId="0" applyFill="1" applyBorder="1"/>
    <xf numFmtId="0" fontId="0" fillId="2" borderId="1" xfId="0" applyFill="1" applyBorder="1"/>
    <xf numFmtId="0" fontId="2" fillId="5" borderId="1" xfId="0" applyFont="1" applyFill="1" applyBorder="1"/>
    <xf numFmtId="0" fontId="3" fillId="5" borderId="1" xfId="0" applyFont="1" applyFill="1" applyBorder="1"/>
    <xf numFmtId="56" fontId="0" fillId="0" borderId="0" xfId="0" applyNumberFormat="1"/>
    <xf numFmtId="0" fontId="0" fillId="0" borderId="2" xfId="0" applyBorder="1"/>
    <xf numFmtId="0" fontId="0" fillId="0" borderId="2" xfId="0" applyBorder="1" applyAlignment="1">
      <alignment horizontal="center"/>
    </xf>
    <xf numFmtId="0" fontId="0" fillId="0" borderId="3" xfId="0" applyBorder="1"/>
    <xf numFmtId="14" fontId="0" fillId="0" borderId="3" xfId="0" applyNumberFormat="1" applyBorder="1"/>
    <xf numFmtId="20" fontId="0" fillId="0" borderId="0" xfId="0" applyNumberFormat="1"/>
    <xf numFmtId="0" fontId="0" fillId="2" borderId="4" xfId="0" applyFill="1" applyBorder="1"/>
    <xf numFmtId="0" fontId="0" fillId="4" borderId="5" xfId="0" applyFill="1" applyBorder="1"/>
    <xf numFmtId="0" fontId="0" fillId="6" borderId="6" xfId="0" applyFill="1" applyBorder="1"/>
    <xf numFmtId="0" fontId="0" fillId="6" borderId="7" xfId="0" applyFill="1" applyBorder="1"/>
    <xf numFmtId="14" fontId="0" fillId="0" borderId="0" xfId="0" applyNumberFormat="1"/>
    <xf numFmtId="0" fontId="0" fillId="0" borderId="0" xfId="0" applyAlignment="1">
      <alignment horizontal="right"/>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0" borderId="3" xfId="0" applyFont="1" applyBorder="1"/>
    <xf numFmtId="0" fontId="4" fillId="0" borderId="14" xfId="0" applyFont="1" applyBorder="1"/>
    <xf numFmtId="0" fontId="4" fillId="0" borderId="10" xfId="0" applyFont="1" applyBorder="1"/>
    <xf numFmtId="0" fontId="0" fillId="0" borderId="0" xfId="0" applyAlignment="1">
      <alignment vertical="center"/>
    </xf>
    <xf numFmtId="0" fontId="0" fillId="7" borderId="8" xfId="0" applyFill="1" applyBorder="1"/>
    <xf numFmtId="0" fontId="0" fillId="7" borderId="9" xfId="0" applyFill="1" applyBorder="1"/>
    <xf numFmtId="0" fontId="0" fillId="7" borderId="16" xfId="0" applyFill="1" applyBorder="1"/>
    <xf numFmtId="0" fontId="4" fillId="7" borderId="10" xfId="0" applyFont="1" applyFill="1" applyBorder="1"/>
    <xf numFmtId="0" fontId="0" fillId="0" borderId="4" xfId="0" applyBorder="1"/>
    <xf numFmtId="0" fontId="0" fillId="0" borderId="20" xfId="0" applyBorder="1"/>
    <xf numFmtId="0" fontId="3" fillId="0" borderId="10" xfId="0" applyFont="1" applyBorder="1"/>
    <xf numFmtId="0" fontId="3" fillId="0" borderId="3" xfId="0" applyFont="1" applyBorder="1"/>
    <xf numFmtId="0" fontId="3" fillId="0" borderId="14" xfId="0" applyFont="1" applyBorder="1"/>
    <xf numFmtId="0" fontId="3" fillId="0" borderId="8" xfId="0" applyFont="1" applyBorder="1"/>
    <xf numFmtId="0" fontId="3" fillId="0" borderId="9" xfId="0" applyFont="1" applyBorder="1"/>
    <xf numFmtId="0" fontId="3" fillId="0" borderId="16" xfId="0" applyFont="1" applyBorder="1"/>
    <xf numFmtId="0" fontId="0" fillId="6" borderId="1" xfId="0" applyFill="1" applyBorder="1"/>
    <xf numFmtId="0" fontId="0" fillId="6" borderId="9" xfId="0" applyFill="1" applyBorder="1"/>
    <xf numFmtId="0" fontId="0" fillId="6" borderId="15" xfId="0" applyFill="1" applyBorder="1"/>
    <xf numFmtId="0" fontId="3" fillId="6" borderId="10" xfId="0" applyFont="1" applyFill="1" applyBorder="1"/>
    <xf numFmtId="0" fontId="0" fillId="6" borderId="10" xfId="0" applyFill="1" applyBorder="1"/>
    <xf numFmtId="0" fontId="0" fillId="0" borderId="21" xfId="0" applyBorder="1"/>
    <xf numFmtId="0" fontId="3" fillId="0" borderId="5" xfId="0" applyFont="1" applyBorder="1"/>
    <xf numFmtId="0" fontId="0" fillId="0" borderId="5" xfId="0" applyBorder="1"/>
    <xf numFmtId="0" fontId="6" fillId="0" borderId="0" xfId="0" applyFont="1"/>
    <xf numFmtId="0" fontId="0" fillId="6" borderId="22" xfId="0" applyFill="1" applyBorder="1"/>
    <xf numFmtId="0" fontId="0" fillId="0" borderId="23"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228597</xdr:rowOff>
    </xdr:from>
    <xdr:to>
      <xdr:col>23</xdr:col>
      <xdr:colOff>419100</xdr:colOff>
      <xdr:row>34</xdr:row>
      <xdr:rowOff>202036</xdr:rowOff>
    </xdr:to>
    <xdr:pic>
      <xdr:nvPicPr>
        <xdr:cNvPr id="3" name="図 2">
          <a:extLst>
            <a:ext uri="{FF2B5EF4-FFF2-40B4-BE49-F238E27FC236}">
              <a16:creationId xmlns:a16="http://schemas.microsoft.com/office/drawing/2014/main" id="{3B3FFD3B-749C-65E2-1DB5-CFEBF141A36E}"/>
            </a:ext>
          </a:extLst>
        </xdr:cNvPr>
        <xdr:cNvPicPr>
          <a:picLocks noChangeAspect="1"/>
        </xdr:cNvPicPr>
      </xdr:nvPicPr>
      <xdr:blipFill>
        <a:blip xmlns:r="http://schemas.openxmlformats.org/officeDocument/2006/relationships" r:embed="rId1"/>
        <a:stretch>
          <a:fillRect/>
        </a:stretch>
      </xdr:blipFill>
      <xdr:spPr>
        <a:xfrm>
          <a:off x="1285875" y="2057397"/>
          <a:ext cx="8991600" cy="6145639"/>
        </a:xfrm>
        <a:prstGeom prst="rect">
          <a:avLst/>
        </a:prstGeom>
        <a:ln>
          <a:solidFill>
            <a:schemeClr val="bg1">
              <a:lumMod val="75000"/>
            </a:schemeClr>
          </a:solidFill>
        </a:ln>
      </xdr:spPr>
    </xdr:pic>
    <xdr:clientData/>
  </xdr:twoCellAnchor>
  <xdr:twoCellAnchor editAs="oneCell">
    <xdr:from>
      <xdr:col>3</xdr:col>
      <xdr:colOff>1</xdr:colOff>
      <xdr:row>36</xdr:row>
      <xdr:rowOff>2</xdr:rowOff>
    </xdr:from>
    <xdr:to>
      <xdr:col>24</xdr:col>
      <xdr:colOff>9406</xdr:colOff>
      <xdr:row>59</xdr:row>
      <xdr:rowOff>180975</xdr:rowOff>
    </xdr:to>
    <xdr:pic>
      <xdr:nvPicPr>
        <xdr:cNvPr id="4" name="図 3">
          <a:extLst>
            <a:ext uri="{FF2B5EF4-FFF2-40B4-BE49-F238E27FC236}">
              <a16:creationId xmlns:a16="http://schemas.microsoft.com/office/drawing/2014/main" id="{9F2271B0-6C80-1FBC-675B-FB46E11A63DB}"/>
            </a:ext>
          </a:extLst>
        </xdr:cNvPr>
        <xdr:cNvPicPr>
          <a:picLocks noChangeAspect="1"/>
        </xdr:cNvPicPr>
      </xdr:nvPicPr>
      <xdr:blipFill>
        <a:blip xmlns:r="http://schemas.openxmlformats.org/officeDocument/2006/relationships" r:embed="rId2"/>
        <a:stretch>
          <a:fillRect/>
        </a:stretch>
      </xdr:blipFill>
      <xdr:spPr>
        <a:xfrm>
          <a:off x="1285876" y="8458202"/>
          <a:ext cx="9010530" cy="5438773"/>
        </a:xfrm>
        <a:prstGeom prst="rect">
          <a:avLst/>
        </a:prstGeom>
        <a:ln>
          <a:solidFill>
            <a:schemeClr val="bg1">
              <a:lumMod val="75000"/>
            </a:schemeClr>
          </a:solidFill>
        </a:ln>
      </xdr:spPr>
    </xdr:pic>
    <xdr:clientData/>
  </xdr:twoCellAnchor>
  <xdr:twoCellAnchor editAs="oneCell">
    <xdr:from>
      <xdr:col>3</xdr:col>
      <xdr:colOff>0</xdr:colOff>
      <xdr:row>76</xdr:row>
      <xdr:rowOff>0</xdr:rowOff>
    </xdr:from>
    <xdr:to>
      <xdr:col>31</xdr:col>
      <xdr:colOff>191127</xdr:colOff>
      <xdr:row>104</xdr:row>
      <xdr:rowOff>152737</xdr:rowOff>
    </xdr:to>
    <xdr:pic>
      <xdr:nvPicPr>
        <xdr:cNvPr id="6" name="図 5">
          <a:extLst>
            <a:ext uri="{FF2B5EF4-FFF2-40B4-BE49-F238E27FC236}">
              <a16:creationId xmlns:a16="http://schemas.microsoft.com/office/drawing/2014/main" id="{295AEDD4-5F2F-DD3B-0087-D3967EB00D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5875" y="17602200"/>
          <a:ext cx="12192627" cy="6553537"/>
        </a:xfrm>
        <a:prstGeom prst="rect">
          <a:avLst/>
        </a:prstGeom>
      </xdr:spPr>
    </xdr:pic>
    <xdr:clientData/>
  </xdr:twoCellAnchor>
  <xdr:twoCellAnchor editAs="oneCell">
    <xdr:from>
      <xdr:col>3</xdr:col>
      <xdr:colOff>0</xdr:colOff>
      <xdr:row>107</xdr:row>
      <xdr:rowOff>0</xdr:rowOff>
    </xdr:from>
    <xdr:to>
      <xdr:col>31</xdr:col>
      <xdr:colOff>191127</xdr:colOff>
      <xdr:row>135</xdr:row>
      <xdr:rowOff>152737</xdr:rowOff>
    </xdr:to>
    <xdr:pic>
      <xdr:nvPicPr>
        <xdr:cNvPr id="14" name="図 13">
          <a:extLst>
            <a:ext uri="{FF2B5EF4-FFF2-40B4-BE49-F238E27FC236}">
              <a16:creationId xmlns:a16="http://schemas.microsoft.com/office/drawing/2014/main" id="{1FA042A0-6B53-EFC8-D8B0-549192B2E2C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85875" y="24688800"/>
          <a:ext cx="12192627" cy="6553537"/>
        </a:xfrm>
        <a:prstGeom prst="rect">
          <a:avLst/>
        </a:prstGeom>
      </xdr:spPr>
    </xdr:pic>
    <xdr:clientData/>
  </xdr:twoCellAnchor>
  <xdr:twoCellAnchor editAs="oneCell">
    <xdr:from>
      <xdr:col>3</xdr:col>
      <xdr:colOff>0</xdr:colOff>
      <xdr:row>138</xdr:row>
      <xdr:rowOff>0</xdr:rowOff>
    </xdr:from>
    <xdr:to>
      <xdr:col>31</xdr:col>
      <xdr:colOff>191127</xdr:colOff>
      <xdr:row>166</xdr:row>
      <xdr:rowOff>152737</xdr:rowOff>
    </xdr:to>
    <xdr:pic>
      <xdr:nvPicPr>
        <xdr:cNvPr id="19" name="図 18">
          <a:extLst>
            <a:ext uri="{FF2B5EF4-FFF2-40B4-BE49-F238E27FC236}">
              <a16:creationId xmlns:a16="http://schemas.microsoft.com/office/drawing/2014/main" id="{00BC95DE-C2F5-8A04-C1FA-BDEDB85EF57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85875" y="31775400"/>
          <a:ext cx="12192627" cy="6553537"/>
        </a:xfrm>
        <a:prstGeom prst="rect">
          <a:avLst/>
        </a:prstGeom>
      </xdr:spPr>
    </xdr:pic>
    <xdr:clientData/>
  </xdr:twoCellAnchor>
  <xdr:twoCellAnchor editAs="oneCell">
    <xdr:from>
      <xdr:col>3</xdr:col>
      <xdr:colOff>0</xdr:colOff>
      <xdr:row>169</xdr:row>
      <xdr:rowOff>0</xdr:rowOff>
    </xdr:from>
    <xdr:to>
      <xdr:col>31</xdr:col>
      <xdr:colOff>191127</xdr:colOff>
      <xdr:row>197</xdr:row>
      <xdr:rowOff>152737</xdr:rowOff>
    </xdr:to>
    <xdr:pic>
      <xdr:nvPicPr>
        <xdr:cNvPr id="21" name="図 20">
          <a:extLst>
            <a:ext uri="{FF2B5EF4-FFF2-40B4-BE49-F238E27FC236}">
              <a16:creationId xmlns:a16="http://schemas.microsoft.com/office/drawing/2014/main" id="{13FCF786-4D94-6EF5-437B-0F7A741CB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5875" y="38862000"/>
          <a:ext cx="12192627" cy="65535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1</xdr:row>
      <xdr:rowOff>168275</xdr:rowOff>
    </xdr:from>
    <xdr:to>
      <xdr:col>8</xdr:col>
      <xdr:colOff>57150</xdr:colOff>
      <xdr:row>7</xdr:row>
      <xdr:rowOff>38100</xdr:rowOff>
    </xdr:to>
    <xdr:sp macro="" textlink="">
      <xdr:nvSpPr>
        <xdr:cNvPr id="2" name="正方形/長方形 1">
          <a:extLst>
            <a:ext uri="{FF2B5EF4-FFF2-40B4-BE49-F238E27FC236}">
              <a16:creationId xmlns:a16="http://schemas.microsoft.com/office/drawing/2014/main" id="{CCFCF9F4-1BA3-2D56-A6BE-A4582E126A32}"/>
            </a:ext>
          </a:extLst>
        </xdr:cNvPr>
        <xdr:cNvSpPr/>
      </xdr:nvSpPr>
      <xdr:spPr>
        <a:xfrm>
          <a:off x="219075" y="406400"/>
          <a:ext cx="14697075" cy="12414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7</xdr:col>
      <xdr:colOff>1514475</xdr:colOff>
      <xdr:row>4</xdr:row>
      <xdr:rowOff>76200</xdr:rowOff>
    </xdr:from>
    <xdr:to>
      <xdr:col>7</xdr:col>
      <xdr:colOff>3371850</xdr:colOff>
      <xdr:row>6</xdr:row>
      <xdr:rowOff>92075</xdr:rowOff>
    </xdr:to>
    <xdr:sp macro="" textlink="">
      <xdr:nvSpPr>
        <xdr:cNvPr id="4" name="吹き出し: 四角形 3">
          <a:extLst>
            <a:ext uri="{FF2B5EF4-FFF2-40B4-BE49-F238E27FC236}">
              <a16:creationId xmlns:a16="http://schemas.microsoft.com/office/drawing/2014/main" id="{2AD6A7A7-360B-F34D-ED0C-CEA6581A88A6}"/>
            </a:ext>
          </a:extLst>
        </xdr:cNvPr>
        <xdr:cNvSpPr/>
      </xdr:nvSpPr>
      <xdr:spPr>
        <a:xfrm>
          <a:off x="12306300" y="1000125"/>
          <a:ext cx="1857375" cy="473075"/>
        </a:xfrm>
        <a:prstGeom prst="wedgeRectCallout">
          <a:avLst>
            <a:gd name="adj1" fmla="val -12657"/>
            <a:gd name="adj2" fmla="val -257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今年度中に対応可能</a:t>
          </a:r>
        </a:p>
      </xdr:txBody>
    </xdr:sp>
    <xdr:clientData/>
  </xdr:twoCellAnchor>
  <xdr:twoCellAnchor>
    <xdr:from>
      <xdr:col>0</xdr:col>
      <xdr:colOff>209550</xdr:colOff>
      <xdr:row>10</xdr:row>
      <xdr:rowOff>177800</xdr:rowOff>
    </xdr:from>
    <xdr:to>
      <xdr:col>8</xdr:col>
      <xdr:colOff>66674</xdr:colOff>
      <xdr:row>22</xdr:row>
      <xdr:rowOff>38100</xdr:rowOff>
    </xdr:to>
    <xdr:sp macro="" textlink="">
      <xdr:nvSpPr>
        <xdr:cNvPr id="7" name="正方形/長方形 6">
          <a:extLst>
            <a:ext uri="{FF2B5EF4-FFF2-40B4-BE49-F238E27FC236}">
              <a16:creationId xmlns:a16="http://schemas.microsoft.com/office/drawing/2014/main" id="{7ECA45D6-FE1B-4A8F-850C-576704477790}"/>
            </a:ext>
          </a:extLst>
        </xdr:cNvPr>
        <xdr:cNvSpPr/>
      </xdr:nvSpPr>
      <xdr:spPr>
        <a:xfrm>
          <a:off x="209550" y="2492375"/>
          <a:ext cx="14716124" cy="2603500"/>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7</xdr:col>
      <xdr:colOff>1447799</xdr:colOff>
      <xdr:row>17</xdr:row>
      <xdr:rowOff>9525</xdr:rowOff>
    </xdr:from>
    <xdr:to>
      <xdr:col>7</xdr:col>
      <xdr:colOff>3800475</xdr:colOff>
      <xdr:row>20</xdr:row>
      <xdr:rowOff>28575</xdr:rowOff>
    </xdr:to>
    <xdr:sp macro="" textlink="">
      <xdr:nvSpPr>
        <xdr:cNvPr id="9" name="吹き出し: 四角形 8">
          <a:extLst>
            <a:ext uri="{FF2B5EF4-FFF2-40B4-BE49-F238E27FC236}">
              <a16:creationId xmlns:a16="http://schemas.microsoft.com/office/drawing/2014/main" id="{16D3D144-1E60-439E-A049-12FBB22B0274}"/>
            </a:ext>
          </a:extLst>
        </xdr:cNvPr>
        <xdr:cNvSpPr/>
      </xdr:nvSpPr>
      <xdr:spPr>
        <a:xfrm>
          <a:off x="12239624" y="3924300"/>
          <a:ext cx="2352676" cy="704850"/>
        </a:xfrm>
        <a:prstGeom prst="wedgeRectCallout">
          <a:avLst>
            <a:gd name="adj1" fmla="val -5492"/>
            <a:gd name="adj2" fmla="val -30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t>現時点では</a:t>
          </a:r>
          <a:r>
            <a:rPr kumimoji="1" lang="en-US" altLang="ja-JP" sz="1100" kern="1200"/>
            <a:t>4</a:t>
          </a:r>
          <a:r>
            <a:rPr kumimoji="1" lang="ja-JP" altLang="en-US" sz="1100" kern="1200"/>
            <a:t>月末にリリースまで</a:t>
          </a:r>
          <a:endParaRPr kumimoji="1" lang="en-US" altLang="ja-JP" sz="1100" kern="1200"/>
        </a:p>
        <a:p>
          <a:pPr algn="ctr"/>
          <a:r>
            <a:rPr kumimoji="1" lang="ja-JP" altLang="en-US" sz="1100" kern="1200"/>
            <a:t>対応可能見込み</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69"/>
  <sheetViews>
    <sheetView showGridLines="0" zoomScaleNormal="100" workbookViewId="0"/>
  </sheetViews>
  <sheetFormatPr defaultColWidth="5.625" defaultRowHeight="18"/>
  <sheetData>
    <row r="2" spans="2:4">
      <c r="B2" t="s">
        <v>0</v>
      </c>
    </row>
    <row r="4" spans="2:4">
      <c r="C4" t="s">
        <v>1</v>
      </c>
    </row>
    <row r="5" spans="2:4">
      <c r="D5" t="s">
        <v>2</v>
      </c>
    </row>
    <row r="6" spans="2:4">
      <c r="D6" t="s">
        <v>3</v>
      </c>
    </row>
    <row r="7" spans="2:4">
      <c r="D7" t="s">
        <v>4</v>
      </c>
    </row>
    <row r="62" spans="3:4">
      <c r="C62" t="s">
        <v>5</v>
      </c>
    </row>
    <row r="63" spans="3:4">
      <c r="D63" t="s">
        <v>6</v>
      </c>
    </row>
    <row r="65" spans="4:5">
      <c r="D65" t="s">
        <v>7</v>
      </c>
    </row>
    <row r="66" spans="4:5">
      <c r="E66" s="36" t="s">
        <v>8</v>
      </c>
    </row>
    <row r="67" spans="4:5">
      <c r="E67" s="36" t="s">
        <v>9</v>
      </c>
    </row>
    <row r="68" spans="4:5">
      <c r="E68" s="36" t="s">
        <v>10</v>
      </c>
    </row>
    <row r="69" spans="4:5">
      <c r="E69" s="36" t="s">
        <v>11</v>
      </c>
    </row>
    <row r="71" spans="4:5">
      <c r="D71" t="s">
        <v>12</v>
      </c>
    </row>
    <row r="72" spans="4:5">
      <c r="D72" t="s">
        <v>13</v>
      </c>
    </row>
    <row r="73" spans="4:5">
      <c r="D73" t="s">
        <v>14</v>
      </c>
    </row>
    <row r="74" spans="4:5">
      <c r="D74" t="s">
        <v>15</v>
      </c>
    </row>
    <row r="75" spans="4:5">
      <c r="D75" s="20"/>
    </row>
    <row r="76" spans="4:5">
      <c r="D76" t="s">
        <v>16</v>
      </c>
    </row>
    <row r="107" spans="4:4">
      <c r="D107" s="36" t="s">
        <v>17</v>
      </c>
    </row>
    <row r="138" spans="4:4">
      <c r="D138" s="36" t="s">
        <v>18</v>
      </c>
    </row>
    <row r="169" spans="4:4">
      <c r="D169" s="36" t="s">
        <v>19</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tabSelected="1" workbookViewId="0"/>
  </sheetViews>
  <sheetFormatPr defaultRowHeight="18"/>
  <cols>
    <col min="1" max="1" width="3.375" bestFit="1" customWidth="1"/>
    <col min="2" max="2" width="17.125" bestFit="1" customWidth="1"/>
    <col min="3" max="3" width="19.25" bestFit="1" customWidth="1"/>
    <col min="4" max="5" width="29.625" bestFit="1" customWidth="1"/>
    <col min="6" max="6" width="13" bestFit="1" customWidth="1"/>
    <col min="7" max="7" width="29.625" bestFit="1" customWidth="1"/>
    <col min="8" max="8" width="53.375" bestFit="1" customWidth="1"/>
  </cols>
  <sheetData>
    <row r="1" spans="1:8" ht="18.600000000000001" thickBot="1"/>
    <row r="2" spans="1:8">
      <c r="A2" s="20"/>
      <c r="B2" s="58" t="s">
        <v>20</v>
      </c>
      <c r="C2" s="50" t="s">
        <v>21</v>
      </c>
      <c r="D2" s="50"/>
      <c r="E2" s="50"/>
      <c r="F2" s="51" t="s">
        <v>22</v>
      </c>
      <c r="G2" s="52" t="s">
        <v>23</v>
      </c>
      <c r="H2" s="53" t="s">
        <v>24</v>
      </c>
    </row>
    <row r="3" spans="1:8">
      <c r="B3" s="21" t="s">
        <v>25</v>
      </c>
      <c r="C3" s="21" t="s">
        <v>26</v>
      </c>
      <c r="D3" s="22" t="s">
        <v>27</v>
      </c>
      <c r="E3" s="22"/>
      <c r="F3" s="29">
        <v>1</v>
      </c>
      <c r="G3" s="43"/>
      <c r="H3" s="23" t="s">
        <v>28</v>
      </c>
    </row>
    <row r="4" spans="1:8">
      <c r="A4" s="20"/>
      <c r="B4" s="24"/>
      <c r="C4" s="24"/>
      <c r="D4" t="s">
        <v>29</v>
      </c>
      <c r="F4" s="30">
        <v>0.5</v>
      </c>
      <c r="G4" s="44"/>
      <c r="H4" s="12" t="s">
        <v>30</v>
      </c>
    </row>
    <row r="5" spans="1:8">
      <c r="A5" s="20"/>
      <c r="B5" s="24"/>
      <c r="C5" s="24"/>
      <c r="D5" t="s">
        <v>31</v>
      </c>
      <c r="F5" s="30">
        <v>0.5</v>
      </c>
      <c r="G5" s="44"/>
      <c r="H5" s="12"/>
    </row>
    <row r="6" spans="1:8">
      <c r="A6" s="20"/>
      <c r="B6" s="24"/>
      <c r="C6" s="24" t="s">
        <v>32</v>
      </c>
      <c r="F6" s="30">
        <v>2</v>
      </c>
      <c r="G6" s="44"/>
      <c r="H6" s="12"/>
    </row>
    <row r="7" spans="1:8">
      <c r="B7" s="41" t="s">
        <v>33</v>
      </c>
      <c r="C7" s="41" t="s">
        <v>34</v>
      </c>
      <c r="D7" s="42"/>
      <c r="E7" s="42"/>
      <c r="F7" s="59">
        <v>2</v>
      </c>
      <c r="G7" s="55" t="s">
        <v>35</v>
      </c>
      <c r="H7" s="56"/>
    </row>
    <row r="8" spans="1:8" ht="18.600000000000001" thickBot="1">
      <c r="B8" s="41" t="s">
        <v>36</v>
      </c>
      <c r="C8" s="41"/>
      <c r="D8" s="42"/>
      <c r="E8" s="42"/>
      <c r="F8" s="54">
        <f>SUM(F3:F7)</f>
        <v>6</v>
      </c>
      <c r="G8" s="55"/>
      <c r="H8" s="56"/>
    </row>
    <row r="10" spans="1:8" ht="18.600000000000001" thickBot="1"/>
    <row r="11" spans="1:8">
      <c r="A11" s="20"/>
      <c r="B11" s="58" t="s">
        <v>20</v>
      </c>
      <c r="C11" s="50" t="s">
        <v>21</v>
      </c>
      <c r="D11" s="50"/>
      <c r="E11" s="50"/>
      <c r="F11" s="51" t="s">
        <v>22</v>
      </c>
      <c r="G11" s="52" t="s">
        <v>23</v>
      </c>
      <c r="H11" s="53" t="s">
        <v>24</v>
      </c>
    </row>
    <row r="12" spans="1:8">
      <c r="B12" s="21" t="s">
        <v>37</v>
      </c>
      <c r="C12" s="21" t="s">
        <v>38</v>
      </c>
      <c r="D12" s="22" t="s">
        <v>39</v>
      </c>
      <c r="E12" s="22" t="s">
        <v>40</v>
      </c>
      <c r="F12" s="29">
        <v>1</v>
      </c>
      <c r="G12" s="43" t="s">
        <v>41</v>
      </c>
      <c r="H12" s="23"/>
    </row>
    <row r="13" spans="1:8">
      <c r="B13" s="24"/>
      <c r="C13" s="24"/>
      <c r="E13" t="s">
        <v>42</v>
      </c>
      <c r="F13" s="30">
        <v>0.5</v>
      </c>
      <c r="G13" s="44"/>
      <c r="H13" s="12"/>
    </row>
    <row r="14" spans="1:8">
      <c r="B14" s="24"/>
      <c r="C14" s="24"/>
      <c r="D14" t="s">
        <v>43</v>
      </c>
      <c r="E14" t="s">
        <v>44</v>
      </c>
      <c r="F14" s="30">
        <v>0.5</v>
      </c>
      <c r="G14" s="44"/>
      <c r="H14" s="12"/>
    </row>
    <row r="15" spans="1:8">
      <c r="B15" s="24"/>
      <c r="C15" s="24"/>
      <c r="E15" t="s">
        <v>45</v>
      </c>
      <c r="F15" s="30">
        <v>0.5</v>
      </c>
      <c r="G15" s="44"/>
      <c r="H15" s="12"/>
    </row>
    <row r="16" spans="1:8">
      <c r="B16" s="21" t="s">
        <v>46</v>
      </c>
      <c r="C16" s="21" t="s">
        <v>47</v>
      </c>
      <c r="D16" s="22"/>
      <c r="E16" s="22"/>
      <c r="F16" s="29">
        <v>2</v>
      </c>
      <c r="G16" s="43" t="s">
        <v>48</v>
      </c>
      <c r="H16" s="23"/>
    </row>
    <row r="17" spans="2:8">
      <c r="B17" s="24"/>
      <c r="C17" s="24" t="s">
        <v>49</v>
      </c>
      <c r="F17" s="30">
        <v>1</v>
      </c>
      <c r="G17" s="44"/>
      <c r="H17" s="33"/>
    </row>
    <row r="18" spans="2:8">
      <c r="B18" s="25"/>
      <c r="C18" s="25" t="s">
        <v>50</v>
      </c>
      <c r="D18" s="26"/>
      <c r="E18" s="26"/>
      <c r="F18" s="31">
        <v>1</v>
      </c>
      <c r="G18" s="45"/>
      <c r="H18" s="34"/>
    </row>
    <row r="19" spans="2:8">
      <c r="B19" s="46" t="s">
        <v>51</v>
      </c>
      <c r="C19" s="46" t="s">
        <v>52</v>
      </c>
      <c r="D19" s="47"/>
      <c r="E19" s="47"/>
      <c r="F19" s="48">
        <v>1</v>
      </c>
      <c r="G19" s="43"/>
      <c r="H19" s="43"/>
    </row>
    <row r="20" spans="2:8">
      <c r="B20" s="21" t="s">
        <v>53</v>
      </c>
      <c r="C20" s="21" t="s">
        <v>54</v>
      </c>
      <c r="D20" s="22"/>
      <c r="E20" s="22"/>
      <c r="F20" s="29">
        <v>0.5</v>
      </c>
      <c r="G20" s="43" t="s">
        <v>55</v>
      </c>
      <c r="H20" s="35"/>
    </row>
    <row r="21" spans="2:8">
      <c r="B21" s="24"/>
      <c r="C21" s="24" t="s">
        <v>56</v>
      </c>
      <c r="F21" s="30">
        <v>0.5</v>
      </c>
      <c r="G21" s="44"/>
      <c r="H21" s="33"/>
    </row>
    <row r="22" spans="2:8">
      <c r="B22" s="25"/>
      <c r="C22" s="25" t="s">
        <v>57</v>
      </c>
      <c r="D22" s="26"/>
      <c r="E22" s="26"/>
      <c r="F22" s="31">
        <v>1</v>
      </c>
      <c r="G22" s="45"/>
      <c r="H22" s="34"/>
    </row>
    <row r="23" spans="2:8" ht="18.600000000000001" thickBot="1">
      <c r="B23" s="25" t="s">
        <v>36</v>
      </c>
      <c r="C23" s="25"/>
      <c r="D23" s="26"/>
      <c r="E23" s="26"/>
      <c r="F23" s="32">
        <f>SUM(F12:F22)</f>
        <v>9.5</v>
      </c>
      <c r="G23" s="45"/>
      <c r="H23" s="27"/>
    </row>
    <row r="25" spans="2:8">
      <c r="B25" s="57" t="s">
        <v>58</v>
      </c>
    </row>
    <row r="26" spans="2:8">
      <c r="C26" s="57" t="s">
        <v>59</v>
      </c>
    </row>
    <row r="28" spans="2:8">
      <c r="B28" t="s">
        <v>60</v>
      </c>
    </row>
    <row r="29" spans="2:8">
      <c r="B29" t="s">
        <v>61</v>
      </c>
    </row>
    <row r="30" spans="2:8">
      <c r="B30" t="s">
        <v>62</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3F09-7924-47F8-8F9C-6A4D67B3DE4C}">
  <dimension ref="A1:H22"/>
  <sheetViews>
    <sheetView workbookViewId="0"/>
  </sheetViews>
  <sheetFormatPr defaultRowHeight="18"/>
  <cols>
    <col min="1" max="1" width="3.375" bestFit="1" customWidth="1"/>
    <col min="2" max="2" width="17.125" bestFit="1" customWidth="1"/>
    <col min="3" max="3" width="19.25" bestFit="1" customWidth="1"/>
    <col min="4" max="5" width="29.625" bestFit="1" customWidth="1"/>
    <col min="6" max="6" width="13" bestFit="1" customWidth="1"/>
    <col min="7" max="7" width="63.125" bestFit="1" customWidth="1"/>
    <col min="8" max="8" width="53.375" bestFit="1" customWidth="1"/>
  </cols>
  <sheetData>
    <row r="1" spans="1:8" ht="18.600000000000001" thickBot="1"/>
    <row r="2" spans="1:8">
      <c r="A2" s="20"/>
      <c r="B2" s="49" t="s">
        <v>20</v>
      </c>
      <c r="C2" s="50" t="s">
        <v>21</v>
      </c>
      <c r="D2" s="50"/>
      <c r="E2" s="50"/>
      <c r="F2" s="51" t="s">
        <v>22</v>
      </c>
      <c r="G2" s="52" t="s">
        <v>23</v>
      </c>
      <c r="H2" s="53" t="s">
        <v>24</v>
      </c>
    </row>
    <row r="3" spans="1:8">
      <c r="B3" s="21" t="s">
        <v>25</v>
      </c>
      <c r="C3" s="21" t="s">
        <v>26</v>
      </c>
      <c r="D3" s="22" t="s">
        <v>27</v>
      </c>
      <c r="E3" s="22"/>
      <c r="F3" s="29">
        <v>1</v>
      </c>
      <c r="G3" s="43"/>
      <c r="H3" s="23" t="s">
        <v>28</v>
      </c>
    </row>
    <row r="4" spans="1:8">
      <c r="A4" s="20"/>
      <c r="B4" s="24"/>
      <c r="C4" s="24"/>
      <c r="D4" t="s">
        <v>29</v>
      </c>
      <c r="F4" s="30">
        <v>0.5</v>
      </c>
      <c r="G4" s="44"/>
      <c r="H4" s="12" t="s">
        <v>30</v>
      </c>
    </row>
    <row r="5" spans="1:8">
      <c r="A5" s="20"/>
      <c r="B5" s="24"/>
      <c r="C5" s="24"/>
      <c r="D5" t="s">
        <v>31</v>
      </c>
      <c r="F5" s="30">
        <v>0.5</v>
      </c>
      <c r="G5" s="44"/>
      <c r="H5" s="12"/>
    </row>
    <row r="6" spans="1:8">
      <c r="A6" s="20"/>
      <c r="B6" s="24"/>
      <c r="C6" s="24" t="s">
        <v>32</v>
      </c>
      <c r="F6" s="30">
        <v>2</v>
      </c>
      <c r="G6" s="44"/>
      <c r="H6" s="12"/>
    </row>
    <row r="7" spans="1:8">
      <c r="B7" s="21" t="s">
        <v>33</v>
      </c>
      <c r="C7" s="41" t="s">
        <v>34</v>
      </c>
      <c r="D7" s="42"/>
      <c r="E7" s="42"/>
      <c r="F7" s="29">
        <v>2</v>
      </c>
      <c r="G7" s="43" t="s">
        <v>35</v>
      </c>
      <c r="H7" s="23"/>
    </row>
    <row r="8" spans="1:8">
      <c r="B8" s="21" t="s">
        <v>37</v>
      </c>
      <c r="C8" s="24" t="s">
        <v>38</v>
      </c>
      <c r="D8" t="s">
        <v>39</v>
      </c>
      <c r="E8" t="s">
        <v>40</v>
      </c>
      <c r="F8" s="29">
        <v>1</v>
      </c>
      <c r="G8" s="43" t="s">
        <v>41</v>
      </c>
      <c r="H8" s="23"/>
    </row>
    <row r="9" spans="1:8">
      <c r="B9" s="24"/>
      <c r="C9" s="24"/>
      <c r="E9" t="s">
        <v>42</v>
      </c>
      <c r="F9" s="30">
        <v>0.5</v>
      </c>
      <c r="G9" s="44"/>
      <c r="H9" s="12"/>
    </row>
    <row r="10" spans="1:8">
      <c r="B10" s="24"/>
      <c r="C10" s="24"/>
      <c r="D10" t="s">
        <v>43</v>
      </c>
      <c r="E10" t="s">
        <v>44</v>
      </c>
      <c r="F10" s="30">
        <v>0.5</v>
      </c>
      <c r="G10" s="44"/>
      <c r="H10" s="12"/>
    </row>
    <row r="11" spans="1:8">
      <c r="B11" s="24"/>
      <c r="C11" s="24"/>
      <c r="E11" t="s">
        <v>45</v>
      </c>
      <c r="F11" s="30">
        <v>0.5</v>
      </c>
      <c r="G11" s="44"/>
      <c r="H11" s="12"/>
    </row>
    <row r="12" spans="1:8">
      <c r="B12" s="21" t="s">
        <v>46</v>
      </c>
      <c r="C12" s="21" t="s">
        <v>47</v>
      </c>
      <c r="D12" s="22"/>
      <c r="E12" s="22"/>
      <c r="F12" s="29">
        <v>2</v>
      </c>
      <c r="G12" s="43" t="s">
        <v>48</v>
      </c>
      <c r="H12" s="23"/>
    </row>
    <row r="13" spans="1:8">
      <c r="B13" s="24"/>
      <c r="C13" s="24" t="s">
        <v>49</v>
      </c>
      <c r="F13" s="30">
        <v>1</v>
      </c>
      <c r="G13" s="44"/>
      <c r="H13" s="33"/>
    </row>
    <row r="14" spans="1:8">
      <c r="B14" s="25"/>
      <c r="C14" s="25" t="s">
        <v>50</v>
      </c>
      <c r="D14" s="26"/>
      <c r="E14" s="26"/>
      <c r="F14" s="31">
        <v>1</v>
      </c>
      <c r="G14" s="45"/>
      <c r="H14" s="34"/>
    </row>
    <row r="15" spans="1:8">
      <c r="B15" s="46" t="s">
        <v>51</v>
      </c>
      <c r="C15" s="46" t="s">
        <v>52</v>
      </c>
      <c r="D15" s="47"/>
      <c r="E15" s="47"/>
      <c r="F15" s="48">
        <v>1</v>
      </c>
      <c r="G15" s="43"/>
      <c r="H15" s="43"/>
    </row>
    <row r="16" spans="1:8">
      <c r="B16" s="21" t="s">
        <v>53</v>
      </c>
      <c r="C16" s="21" t="s">
        <v>54</v>
      </c>
      <c r="D16" s="22"/>
      <c r="E16" s="22"/>
      <c r="F16" s="29">
        <v>0.5</v>
      </c>
      <c r="G16" s="43" t="s">
        <v>55</v>
      </c>
      <c r="H16" s="35"/>
    </row>
    <row r="17" spans="2:8">
      <c r="B17" s="24"/>
      <c r="C17" s="24" t="s">
        <v>56</v>
      </c>
      <c r="F17" s="30">
        <v>0.5</v>
      </c>
      <c r="G17" s="44"/>
      <c r="H17" s="33"/>
    </row>
    <row r="18" spans="2:8">
      <c r="B18" s="25"/>
      <c r="C18" s="25" t="s">
        <v>57</v>
      </c>
      <c r="D18" s="26"/>
      <c r="E18" s="26"/>
      <c r="F18" s="31">
        <v>1</v>
      </c>
      <c r="G18" s="45"/>
      <c r="H18" s="34"/>
    </row>
    <row r="19" spans="2:8">
      <c r="B19" s="21" t="s">
        <v>63</v>
      </c>
      <c r="C19" s="21" t="s">
        <v>63</v>
      </c>
      <c r="D19" s="22"/>
      <c r="E19" s="22"/>
      <c r="F19" s="29">
        <f>SUM(F3:F18)*0.15</f>
        <v>2.3249999999999997</v>
      </c>
      <c r="G19" s="43" t="s">
        <v>64</v>
      </c>
      <c r="H19" s="35"/>
    </row>
    <row r="20" spans="2:8" ht="18.600000000000001" thickBot="1">
      <c r="B20" s="41" t="s">
        <v>36</v>
      </c>
      <c r="C20" s="41"/>
      <c r="D20" s="42"/>
      <c r="E20" s="42"/>
      <c r="F20" s="54">
        <f>SUM(F3:F19)</f>
        <v>17.824999999999999</v>
      </c>
      <c r="G20" s="55"/>
      <c r="H20" s="56"/>
    </row>
    <row r="22" spans="2:8">
      <c r="B22" s="57" t="s">
        <v>58</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C5D5-9140-466D-818A-6951909F7853}">
  <dimension ref="A1:H21"/>
  <sheetViews>
    <sheetView workbookViewId="0"/>
  </sheetViews>
  <sheetFormatPr defaultRowHeight="18"/>
  <cols>
    <col min="2" max="2" width="3.375" bestFit="1" customWidth="1"/>
    <col min="3" max="3" width="15.125" bestFit="1" customWidth="1"/>
    <col min="4" max="4" width="19.25" bestFit="1" customWidth="1"/>
    <col min="5" max="6" width="29.625" bestFit="1" customWidth="1"/>
    <col min="7" max="7" width="13" bestFit="1" customWidth="1"/>
    <col min="8" max="8" width="53.375" bestFit="1" customWidth="1"/>
  </cols>
  <sheetData>
    <row r="1" spans="1:8">
      <c r="A1" t="s">
        <v>65</v>
      </c>
    </row>
    <row r="3" spans="1:8" ht="18.600000000000001" thickBot="1"/>
    <row r="4" spans="1:8">
      <c r="B4" s="20"/>
      <c r="C4" s="2" t="s">
        <v>20</v>
      </c>
      <c r="D4" s="22" t="s">
        <v>21</v>
      </c>
      <c r="E4" s="22"/>
      <c r="F4" s="22"/>
      <c r="G4" s="28" t="s">
        <v>22</v>
      </c>
      <c r="H4" s="23" t="s">
        <v>24</v>
      </c>
    </row>
    <row r="5" spans="1:8">
      <c r="C5" s="21" t="s">
        <v>25</v>
      </c>
      <c r="D5" s="21" t="s">
        <v>26</v>
      </c>
      <c r="E5" s="22" t="s">
        <v>27</v>
      </c>
      <c r="F5" s="22"/>
      <c r="G5" s="29">
        <v>1</v>
      </c>
      <c r="H5" s="23" t="s">
        <v>28</v>
      </c>
    </row>
    <row r="6" spans="1:8">
      <c r="B6" s="20"/>
      <c r="C6" s="24"/>
      <c r="D6" s="24"/>
      <c r="E6" t="s">
        <v>29</v>
      </c>
      <c r="G6" s="30">
        <v>0.5</v>
      </c>
      <c r="H6" s="12" t="s">
        <v>30</v>
      </c>
    </row>
    <row r="7" spans="1:8">
      <c r="B7" s="20"/>
      <c r="C7" s="24"/>
      <c r="D7" s="24"/>
      <c r="E7" t="s">
        <v>31</v>
      </c>
      <c r="G7" s="30">
        <v>0.5</v>
      </c>
      <c r="H7" s="12"/>
    </row>
    <row r="8" spans="1:8">
      <c r="B8" s="20"/>
      <c r="C8" s="24"/>
      <c r="D8" s="24" t="s">
        <v>32</v>
      </c>
      <c r="G8" s="30">
        <v>2</v>
      </c>
      <c r="H8" s="12"/>
    </row>
    <row r="9" spans="1:8">
      <c r="C9" s="21" t="s">
        <v>33</v>
      </c>
      <c r="D9" s="41" t="s">
        <v>34</v>
      </c>
      <c r="E9" s="42"/>
      <c r="F9" s="42"/>
      <c r="G9" s="29">
        <v>2</v>
      </c>
      <c r="H9" s="23"/>
    </row>
    <row r="10" spans="1:8">
      <c r="C10" s="21" t="s">
        <v>37</v>
      </c>
      <c r="D10" s="24" t="s">
        <v>38</v>
      </c>
      <c r="E10" t="s">
        <v>39</v>
      </c>
      <c r="F10" t="s">
        <v>40</v>
      </c>
      <c r="G10" s="29">
        <v>1</v>
      </c>
      <c r="H10" s="23"/>
    </row>
    <row r="11" spans="1:8">
      <c r="C11" s="24"/>
      <c r="D11" s="24"/>
      <c r="F11" t="s">
        <v>42</v>
      </c>
      <c r="G11" s="30">
        <v>0.5</v>
      </c>
      <c r="H11" s="12"/>
    </row>
    <row r="12" spans="1:8">
      <c r="C12" s="24"/>
      <c r="D12" s="24"/>
      <c r="E12" t="s">
        <v>43</v>
      </c>
      <c r="F12" t="s">
        <v>44</v>
      </c>
      <c r="G12" s="30">
        <v>0.5</v>
      </c>
      <c r="H12" s="12"/>
    </row>
    <row r="13" spans="1:8">
      <c r="C13" s="24"/>
      <c r="D13" s="24"/>
      <c r="F13" t="s">
        <v>45</v>
      </c>
      <c r="G13" s="30">
        <v>0.5</v>
      </c>
      <c r="H13" s="12"/>
    </row>
    <row r="14" spans="1:8">
      <c r="C14" s="21" t="s">
        <v>46</v>
      </c>
      <c r="D14" s="21" t="s">
        <v>47</v>
      </c>
      <c r="E14" s="22"/>
      <c r="F14" s="22"/>
      <c r="G14" s="29">
        <v>1</v>
      </c>
      <c r="H14" s="23"/>
    </row>
    <row r="15" spans="1:8">
      <c r="C15" s="24"/>
      <c r="D15" s="24" t="s">
        <v>49</v>
      </c>
      <c r="G15" s="30">
        <v>0.5</v>
      </c>
      <c r="H15" s="33"/>
    </row>
    <row r="16" spans="1:8">
      <c r="C16" s="25"/>
      <c r="D16" s="25" t="s">
        <v>50</v>
      </c>
      <c r="E16" s="26"/>
      <c r="F16" s="26"/>
      <c r="G16" s="31">
        <v>0.5</v>
      </c>
      <c r="H16" s="34"/>
    </row>
    <row r="17" spans="3:8">
      <c r="C17" s="37" t="s">
        <v>51</v>
      </c>
      <c r="D17" s="37"/>
      <c r="E17" s="38"/>
      <c r="F17" s="38"/>
      <c r="G17" s="39">
        <v>0</v>
      </c>
      <c r="H17" s="40" t="s">
        <v>66</v>
      </c>
    </row>
    <row r="18" spans="3:8">
      <c r="C18" s="21" t="s">
        <v>53</v>
      </c>
      <c r="D18" s="21" t="s">
        <v>54</v>
      </c>
      <c r="E18" s="22"/>
      <c r="F18" s="22"/>
      <c r="G18" s="29">
        <v>0.5</v>
      </c>
      <c r="H18" s="35"/>
    </row>
    <row r="19" spans="3:8">
      <c r="C19" s="24"/>
      <c r="D19" s="24" t="s">
        <v>56</v>
      </c>
      <c r="G19" s="30">
        <v>0.5</v>
      </c>
      <c r="H19" s="33"/>
    </row>
    <row r="20" spans="3:8">
      <c r="C20" s="25"/>
      <c r="D20" s="25" t="s">
        <v>57</v>
      </c>
      <c r="E20" s="26"/>
      <c r="F20" s="26"/>
      <c r="G20" s="31">
        <v>0</v>
      </c>
      <c r="H20" s="34"/>
    </row>
    <row r="21" spans="3:8" ht="18.600000000000001" thickBot="1">
      <c r="C21" s="25" t="s">
        <v>36</v>
      </c>
      <c r="D21" s="25"/>
      <c r="E21" s="26"/>
      <c r="F21" s="26"/>
      <c r="G21" s="32">
        <f>SUM(G5:G20)</f>
        <v>11.5</v>
      </c>
      <c r="H21" s="27"/>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AD82"/>
  <sheetViews>
    <sheetView showGridLines="0" topLeftCell="M44" zoomScale="130" zoomScaleNormal="130" workbookViewId="0">
      <selection activeCell="M74" sqref="M74"/>
    </sheetView>
  </sheetViews>
  <sheetFormatPr defaultRowHeight="18"/>
  <cols>
    <col min="1" max="1" width="9.25" customWidth="1"/>
    <col min="2" max="2" width="4.375" customWidth="1"/>
    <col min="3" max="3" width="4" customWidth="1"/>
    <col min="4" max="4" width="9.25" bestFit="1" customWidth="1"/>
    <col min="5" max="5" width="13.125" customWidth="1"/>
    <col min="11" max="11" width="10.25" bestFit="1" customWidth="1"/>
  </cols>
  <sheetData>
    <row r="3" spans="2:12">
      <c r="B3" t="s">
        <v>67</v>
      </c>
    </row>
    <row r="5" spans="2:12">
      <c r="C5" t="s">
        <v>68</v>
      </c>
    </row>
    <row r="6" spans="2:12">
      <c r="D6" t="s">
        <v>69</v>
      </c>
    </row>
    <row r="7" spans="2:12">
      <c r="D7" t="s">
        <v>70</v>
      </c>
    </row>
    <row r="8" spans="2:12">
      <c r="D8" t="s">
        <v>71</v>
      </c>
    </row>
    <row r="9" spans="2:12">
      <c r="D9" t="s">
        <v>72</v>
      </c>
    </row>
    <row r="11" spans="2:12">
      <c r="D11" t="s">
        <v>73</v>
      </c>
    </row>
    <row r="13" spans="2:12">
      <c r="E13" t="s">
        <v>74</v>
      </c>
    </row>
    <row r="15" spans="2:12">
      <c r="D15" t="s">
        <v>75</v>
      </c>
      <c r="E15" t="s">
        <v>76</v>
      </c>
    </row>
    <row r="16" spans="2:12">
      <c r="E16" s="12" t="s">
        <v>77</v>
      </c>
      <c r="F16" s="7" t="s">
        <v>78</v>
      </c>
      <c r="G16" s="8" t="s">
        <v>79</v>
      </c>
      <c r="H16" s="8" t="s">
        <v>80</v>
      </c>
      <c r="I16" s="8" t="s">
        <v>81</v>
      </c>
      <c r="J16" s="8" t="s">
        <v>82</v>
      </c>
      <c r="K16" s="4" t="s">
        <v>83</v>
      </c>
      <c r="L16" s="8" t="s">
        <v>84</v>
      </c>
    </row>
    <row r="17" spans="4:15">
      <c r="E17" s="13">
        <v>45451</v>
      </c>
      <c r="F17" s="2" t="s">
        <v>85</v>
      </c>
      <c r="G17" s="2" t="s">
        <v>86</v>
      </c>
      <c r="H17" s="2" t="s">
        <v>87</v>
      </c>
      <c r="I17" s="2" t="s">
        <v>88</v>
      </c>
      <c r="J17" s="2" t="s">
        <v>89</v>
      </c>
      <c r="K17" s="2">
        <v>1.5</v>
      </c>
      <c r="L17" s="1">
        <v>45450</v>
      </c>
    </row>
    <row r="18" spans="4:15">
      <c r="E18" s="13">
        <v>45452</v>
      </c>
      <c r="F18" s="2" t="s">
        <v>85</v>
      </c>
      <c r="G18" s="2" t="s">
        <v>86</v>
      </c>
      <c r="H18" s="2" t="s">
        <v>87</v>
      </c>
      <c r="I18" s="2" t="s">
        <v>90</v>
      </c>
      <c r="J18" s="2" t="s">
        <v>91</v>
      </c>
      <c r="K18" s="2">
        <v>1.6</v>
      </c>
      <c r="L18" s="1">
        <v>45450</v>
      </c>
    </row>
    <row r="20" spans="4:15">
      <c r="D20" t="s">
        <v>92</v>
      </c>
      <c r="E20" t="s">
        <v>93</v>
      </c>
    </row>
    <row r="21" spans="4:15">
      <c r="E21" s="12" t="s">
        <v>94</v>
      </c>
      <c r="F21" s="6" t="s">
        <v>78</v>
      </c>
      <c r="G21" s="6" t="s">
        <v>79</v>
      </c>
      <c r="H21" s="6" t="s">
        <v>80</v>
      </c>
      <c r="I21" s="5" t="s">
        <v>81</v>
      </c>
      <c r="J21" s="5" t="s">
        <v>82</v>
      </c>
      <c r="K21" s="5" t="s">
        <v>83</v>
      </c>
      <c r="L21" s="6" t="s">
        <v>84</v>
      </c>
    </row>
    <row r="22" spans="4:15">
      <c r="E22" s="13">
        <v>45452</v>
      </c>
      <c r="F22" s="2" t="s">
        <v>85</v>
      </c>
      <c r="G22" s="2" t="s">
        <v>86</v>
      </c>
      <c r="H22" s="2" t="s">
        <v>87</v>
      </c>
      <c r="I22" s="2" t="s">
        <v>90</v>
      </c>
      <c r="J22" s="2" t="s">
        <v>91</v>
      </c>
      <c r="K22" s="2">
        <v>1.6</v>
      </c>
      <c r="L22" s="1">
        <v>45450</v>
      </c>
      <c r="N22" t="s">
        <v>95</v>
      </c>
      <c r="O22" t="s">
        <v>96</v>
      </c>
    </row>
    <row r="25" spans="4:15">
      <c r="D25" t="s">
        <v>97</v>
      </c>
    </row>
    <row r="26" spans="4:15">
      <c r="E26" t="s">
        <v>76</v>
      </c>
    </row>
    <row r="27" spans="4:15">
      <c r="E27" s="12" t="s">
        <v>77</v>
      </c>
      <c r="F27" s="3" t="s">
        <v>78</v>
      </c>
      <c r="G27" s="3" t="s">
        <v>79</v>
      </c>
      <c r="H27" s="3" t="s">
        <v>80</v>
      </c>
      <c r="I27" s="3" t="s">
        <v>81</v>
      </c>
      <c r="J27" s="3" t="s">
        <v>82</v>
      </c>
      <c r="K27" s="4" t="s">
        <v>83</v>
      </c>
      <c r="L27" s="3" t="s">
        <v>84</v>
      </c>
    </row>
    <row r="28" spans="4:15">
      <c r="E28" s="13">
        <v>45451</v>
      </c>
      <c r="F28" s="2" t="s">
        <v>85</v>
      </c>
      <c r="G28" s="2" t="s">
        <v>86</v>
      </c>
      <c r="H28" s="2" t="s">
        <v>87</v>
      </c>
      <c r="I28" s="2" t="s">
        <v>90</v>
      </c>
      <c r="J28" s="2" t="s">
        <v>91</v>
      </c>
      <c r="K28" s="2">
        <v>1.6</v>
      </c>
      <c r="L28" s="1">
        <v>45450</v>
      </c>
    </row>
    <row r="29" spans="4:15">
      <c r="E29" s="13">
        <v>45452</v>
      </c>
      <c r="F29" s="2" t="s">
        <v>85</v>
      </c>
      <c r="G29" s="2" t="s">
        <v>86</v>
      </c>
      <c r="H29" s="2" t="s">
        <v>87</v>
      </c>
      <c r="I29" s="2" t="s">
        <v>88</v>
      </c>
      <c r="J29" s="2" t="s">
        <v>89</v>
      </c>
      <c r="K29" s="2">
        <v>1.5</v>
      </c>
      <c r="L29" s="1">
        <v>45450</v>
      </c>
    </row>
    <row r="31" spans="4:15">
      <c r="E31" t="s">
        <v>93</v>
      </c>
    </row>
    <row r="32" spans="4:15">
      <c r="E32" s="12" t="s">
        <v>98</v>
      </c>
      <c r="F32" s="6" t="s">
        <v>78</v>
      </c>
      <c r="G32" s="6" t="s">
        <v>79</v>
      </c>
      <c r="H32" s="6" t="s">
        <v>80</v>
      </c>
      <c r="I32" s="5" t="s">
        <v>81</v>
      </c>
      <c r="J32" s="5" t="s">
        <v>82</v>
      </c>
      <c r="K32" s="5" t="s">
        <v>83</v>
      </c>
      <c r="L32" s="6" t="s">
        <v>84</v>
      </c>
    </row>
    <row r="33" spans="4:29">
      <c r="E33" s="13">
        <v>45452</v>
      </c>
      <c r="F33" s="2" t="s">
        <v>85</v>
      </c>
      <c r="G33" s="2" t="s">
        <v>86</v>
      </c>
      <c r="H33" s="2" t="s">
        <v>87</v>
      </c>
      <c r="I33" s="2" t="s">
        <v>88</v>
      </c>
      <c r="J33" s="2" t="s">
        <v>89</v>
      </c>
      <c r="K33" s="2">
        <v>1.5</v>
      </c>
      <c r="L33" s="1">
        <v>45450</v>
      </c>
      <c r="N33" t="s">
        <v>95</v>
      </c>
      <c r="O33" t="s">
        <v>99</v>
      </c>
    </row>
    <row r="36" spans="4:29">
      <c r="D36" t="s">
        <v>100</v>
      </c>
    </row>
    <row r="37" spans="4:29" hidden="1">
      <c r="E37" t="s">
        <v>101</v>
      </c>
    </row>
    <row r="40" spans="4:29">
      <c r="E40" s="19">
        <v>45452</v>
      </c>
      <c r="F40" s="14">
        <v>0.55555555555555558</v>
      </c>
      <c r="G40" t="s">
        <v>102</v>
      </c>
      <c r="O40" t="s">
        <v>103</v>
      </c>
      <c r="W40" t="s">
        <v>104</v>
      </c>
    </row>
    <row r="41" spans="4:29">
      <c r="G41" s="7" t="s">
        <v>78</v>
      </c>
      <c r="H41" s="8" t="s">
        <v>79</v>
      </c>
      <c r="I41" s="8" t="s">
        <v>80</v>
      </c>
      <c r="J41" s="8" t="s">
        <v>81</v>
      </c>
      <c r="K41" s="8" t="s">
        <v>82</v>
      </c>
      <c r="L41" s="4" t="s">
        <v>83</v>
      </c>
      <c r="M41" s="8" t="s">
        <v>84</v>
      </c>
      <c r="O41" s="7" t="s">
        <v>78</v>
      </c>
      <c r="P41" s="8" t="s">
        <v>79</v>
      </c>
      <c r="Q41" s="8" t="s">
        <v>80</v>
      </c>
      <c r="R41" s="8" t="s">
        <v>81</v>
      </c>
      <c r="S41" s="8" t="s">
        <v>82</v>
      </c>
      <c r="T41" s="4" t="s">
        <v>83</v>
      </c>
      <c r="U41" s="8" t="s">
        <v>84</v>
      </c>
      <c r="W41" s="6" t="s">
        <v>78</v>
      </c>
      <c r="X41" s="6" t="s">
        <v>79</v>
      </c>
      <c r="Y41" s="6" t="s">
        <v>80</v>
      </c>
      <c r="Z41" s="5" t="s">
        <v>81</v>
      </c>
      <c r="AA41" s="5" t="s">
        <v>82</v>
      </c>
      <c r="AB41" s="5" t="s">
        <v>83</v>
      </c>
      <c r="AC41" s="6" t="s">
        <v>84</v>
      </c>
    </row>
    <row r="42" spans="4:29">
      <c r="G42" s="2" t="s">
        <v>85</v>
      </c>
      <c r="H42" s="2" t="s">
        <v>86</v>
      </c>
      <c r="I42" s="2" t="s">
        <v>87</v>
      </c>
      <c r="J42" s="2" t="s">
        <v>88</v>
      </c>
      <c r="K42" s="2" t="s">
        <v>91</v>
      </c>
      <c r="L42" s="2">
        <v>1.5</v>
      </c>
      <c r="M42" s="1">
        <v>45450</v>
      </c>
      <c r="N42" s="11" t="s">
        <v>105</v>
      </c>
      <c r="O42" s="2" t="s">
        <v>85</v>
      </c>
      <c r="P42" s="2" t="s">
        <v>86</v>
      </c>
      <c r="Q42" s="2" t="s">
        <v>87</v>
      </c>
      <c r="R42" s="2" t="s">
        <v>88</v>
      </c>
      <c r="S42" s="2" t="s">
        <v>91</v>
      </c>
      <c r="T42" s="2">
        <v>1.5</v>
      </c>
      <c r="U42" s="1">
        <v>45450</v>
      </c>
      <c r="V42" s="11" t="s">
        <v>105</v>
      </c>
      <c r="W42" s="2" t="s">
        <v>85</v>
      </c>
      <c r="X42" s="2" t="s">
        <v>86</v>
      </c>
      <c r="Y42" s="2" t="s">
        <v>87</v>
      </c>
      <c r="Z42" s="2" t="s">
        <v>88</v>
      </c>
      <c r="AA42" s="2" t="s">
        <v>91</v>
      </c>
      <c r="AB42" s="2">
        <v>1.5</v>
      </c>
      <c r="AC42" s="1">
        <v>45450</v>
      </c>
    </row>
    <row r="45" spans="4:29">
      <c r="E45" s="19">
        <v>45452</v>
      </c>
      <c r="F45" s="14">
        <v>0.56944444444444442</v>
      </c>
      <c r="G45" t="s">
        <v>102</v>
      </c>
      <c r="O45" t="s">
        <v>103</v>
      </c>
      <c r="W45" t="s">
        <v>104</v>
      </c>
    </row>
    <row r="46" spans="4:29">
      <c r="G46" s="7" t="s">
        <v>78</v>
      </c>
      <c r="H46" s="8" t="s">
        <v>79</v>
      </c>
      <c r="I46" s="8" t="s">
        <v>80</v>
      </c>
      <c r="J46" s="8" t="s">
        <v>81</v>
      </c>
      <c r="K46" s="8" t="s">
        <v>82</v>
      </c>
      <c r="L46" s="4" t="s">
        <v>83</v>
      </c>
      <c r="M46" s="8" t="s">
        <v>84</v>
      </c>
      <c r="O46" s="7" t="s">
        <v>78</v>
      </c>
      <c r="P46" s="8" t="s">
        <v>79</v>
      </c>
      <c r="Q46" s="8" t="s">
        <v>80</v>
      </c>
      <c r="R46" s="8" t="s">
        <v>81</v>
      </c>
      <c r="S46" s="8" t="s">
        <v>82</v>
      </c>
      <c r="T46" s="4" t="s">
        <v>83</v>
      </c>
      <c r="U46" s="8" t="s">
        <v>84</v>
      </c>
      <c r="W46" s="6" t="s">
        <v>78</v>
      </c>
      <c r="X46" s="6" t="s">
        <v>79</v>
      </c>
      <c r="Y46" s="6" t="s">
        <v>80</v>
      </c>
      <c r="Z46" s="5" t="s">
        <v>81</v>
      </c>
      <c r="AA46" s="5" t="s">
        <v>82</v>
      </c>
      <c r="AB46" s="5" t="s">
        <v>83</v>
      </c>
      <c r="AC46" s="6" t="s">
        <v>84</v>
      </c>
    </row>
    <row r="47" spans="4:29">
      <c r="G47" s="2" t="s">
        <v>85</v>
      </c>
      <c r="H47" s="2" t="s">
        <v>86</v>
      </c>
      <c r="I47" s="2" t="s">
        <v>87</v>
      </c>
      <c r="J47" s="2" t="s">
        <v>90</v>
      </c>
      <c r="K47" s="2" t="s">
        <v>89</v>
      </c>
      <c r="L47" s="2">
        <v>1.6</v>
      </c>
      <c r="M47" s="1">
        <v>45450</v>
      </c>
      <c r="N47" s="11" t="s">
        <v>105</v>
      </c>
      <c r="O47" s="2" t="s">
        <v>85</v>
      </c>
      <c r="P47" s="2" t="s">
        <v>86</v>
      </c>
      <c r="Q47" s="2" t="s">
        <v>87</v>
      </c>
      <c r="R47" s="2" t="s">
        <v>90</v>
      </c>
      <c r="S47" s="2" t="s">
        <v>89</v>
      </c>
      <c r="T47" s="2">
        <v>1.6</v>
      </c>
      <c r="U47" s="1">
        <v>45450</v>
      </c>
      <c r="V47" s="11" t="s">
        <v>105</v>
      </c>
      <c r="W47" s="2" t="s">
        <v>85</v>
      </c>
      <c r="X47" s="2" t="s">
        <v>86</v>
      </c>
      <c r="Y47" s="2" t="s">
        <v>87</v>
      </c>
      <c r="Z47" s="2" t="s">
        <v>90</v>
      </c>
      <c r="AA47" s="2" t="s">
        <v>89</v>
      </c>
      <c r="AB47" s="2">
        <v>1.5</v>
      </c>
      <c r="AC47" s="1">
        <v>45450</v>
      </c>
    </row>
    <row r="48" spans="4:29">
      <c r="G48" s="2" t="s">
        <v>85</v>
      </c>
      <c r="H48" s="2" t="s">
        <v>86</v>
      </c>
      <c r="I48" s="2" t="s">
        <v>87</v>
      </c>
      <c r="J48" s="2" t="s">
        <v>88</v>
      </c>
      <c r="K48" s="2" t="s">
        <v>91</v>
      </c>
      <c r="L48" s="2">
        <v>1.5</v>
      </c>
      <c r="M48" s="1">
        <v>45450</v>
      </c>
      <c r="V48" t="s">
        <v>106</v>
      </c>
    </row>
    <row r="49" spans="3:30">
      <c r="V49" t="s">
        <v>107</v>
      </c>
    </row>
    <row r="50" spans="3:30">
      <c r="V50" t="s">
        <v>108</v>
      </c>
    </row>
    <row r="51" spans="3:30" hidden="1">
      <c r="E51" t="s">
        <v>109</v>
      </c>
    </row>
    <row r="52" spans="3:30" hidden="1">
      <c r="F52" s="9">
        <v>45452</v>
      </c>
    </row>
    <row r="53" spans="3:30" hidden="1">
      <c r="F53" s="14">
        <v>0.57291666666666663</v>
      </c>
      <c r="G53" t="s">
        <v>102</v>
      </c>
      <c r="O53" t="s">
        <v>103</v>
      </c>
      <c r="W53" t="s">
        <v>104</v>
      </c>
    </row>
    <row r="54" spans="3:30" hidden="1">
      <c r="G54" s="7" t="s">
        <v>78</v>
      </c>
      <c r="H54" s="8" t="s">
        <v>79</v>
      </c>
      <c r="I54" s="8" t="s">
        <v>80</v>
      </c>
      <c r="J54" s="8" t="s">
        <v>81</v>
      </c>
      <c r="K54" s="8" t="s">
        <v>82</v>
      </c>
      <c r="L54" s="4" t="s">
        <v>83</v>
      </c>
      <c r="M54" s="8" t="s">
        <v>84</v>
      </c>
      <c r="O54" s="7" t="s">
        <v>78</v>
      </c>
      <c r="P54" s="8" t="s">
        <v>79</v>
      </c>
      <c r="Q54" s="8" t="s">
        <v>80</v>
      </c>
      <c r="R54" s="8" t="s">
        <v>81</v>
      </c>
      <c r="S54" s="8" t="s">
        <v>82</v>
      </c>
      <c r="T54" s="4" t="s">
        <v>83</v>
      </c>
      <c r="U54" s="8" t="s">
        <v>84</v>
      </c>
      <c r="W54" s="6" t="s">
        <v>78</v>
      </c>
      <c r="X54" s="6" t="s">
        <v>79</v>
      </c>
      <c r="Y54" s="6" t="s">
        <v>80</v>
      </c>
      <c r="Z54" s="5" t="s">
        <v>81</v>
      </c>
      <c r="AA54" s="5" t="s">
        <v>82</v>
      </c>
      <c r="AB54" s="5" t="s">
        <v>83</v>
      </c>
      <c r="AC54" s="6" t="s">
        <v>84</v>
      </c>
    </row>
    <row r="55" spans="3:30" hidden="1">
      <c r="G55" s="2" t="s">
        <v>85</v>
      </c>
      <c r="H55" s="2" t="s">
        <v>86</v>
      </c>
      <c r="I55" s="2" t="s">
        <v>87</v>
      </c>
      <c r="J55" s="2" t="s">
        <v>90</v>
      </c>
      <c r="K55" s="2" t="s">
        <v>89</v>
      </c>
      <c r="L55" s="2">
        <v>1.6</v>
      </c>
      <c r="M55" s="1">
        <v>45450</v>
      </c>
      <c r="N55" s="11" t="s">
        <v>105</v>
      </c>
      <c r="O55" s="2" t="s">
        <v>85</v>
      </c>
      <c r="P55" s="2" t="s">
        <v>86</v>
      </c>
      <c r="Q55" s="2" t="s">
        <v>87</v>
      </c>
      <c r="R55" s="2" t="s">
        <v>90</v>
      </c>
      <c r="S55" s="2" t="s">
        <v>89</v>
      </c>
      <c r="T55" s="2">
        <v>1.6</v>
      </c>
      <c r="U55" s="1">
        <v>45450</v>
      </c>
      <c r="V55" s="11" t="s">
        <v>105</v>
      </c>
      <c r="W55" s="2" t="s">
        <v>85</v>
      </c>
      <c r="X55" s="2" t="s">
        <v>86</v>
      </c>
      <c r="Y55" s="2" t="s">
        <v>87</v>
      </c>
      <c r="Z55" s="2" t="s">
        <v>90</v>
      </c>
      <c r="AA55" s="2" t="s">
        <v>89</v>
      </c>
      <c r="AB55" s="2">
        <v>1.5</v>
      </c>
      <c r="AC55" s="1">
        <v>45450</v>
      </c>
      <c r="AD55" s="10" t="s">
        <v>110</v>
      </c>
    </row>
    <row r="56" spans="3:30" hidden="1">
      <c r="G56" s="2" t="s">
        <v>85</v>
      </c>
      <c r="H56" s="2" t="s">
        <v>86</v>
      </c>
      <c r="I56" s="2" t="s">
        <v>87</v>
      </c>
      <c r="J56" s="2" t="s">
        <v>88</v>
      </c>
      <c r="K56" s="2" t="s">
        <v>91</v>
      </c>
      <c r="L56" s="2">
        <v>1.5</v>
      </c>
      <c r="M56" s="1">
        <v>45450</v>
      </c>
      <c r="O56" s="2" t="s">
        <v>85</v>
      </c>
      <c r="P56" s="2" t="s">
        <v>86</v>
      </c>
      <c r="Q56" s="2" t="s">
        <v>87</v>
      </c>
      <c r="R56" s="2" t="s">
        <v>88</v>
      </c>
      <c r="S56" s="2" t="s">
        <v>91</v>
      </c>
      <c r="T56" s="2">
        <v>1.5</v>
      </c>
      <c r="U56" s="1">
        <v>45450</v>
      </c>
      <c r="V56" s="11" t="s">
        <v>105</v>
      </c>
      <c r="W56" s="10" t="s">
        <v>111</v>
      </c>
    </row>
    <row r="57" spans="3:30" hidden="1">
      <c r="G57" s="2" t="s">
        <v>112</v>
      </c>
      <c r="H57" s="2" t="s">
        <v>113</v>
      </c>
      <c r="I57" s="2" t="s">
        <v>87</v>
      </c>
      <c r="J57" s="2" t="s">
        <v>90</v>
      </c>
      <c r="K57" s="2" t="s">
        <v>89</v>
      </c>
      <c r="L57" s="2">
        <v>4.0999999999999996</v>
      </c>
      <c r="M57" s="1">
        <v>45450</v>
      </c>
      <c r="O57" s="2" t="s">
        <v>112</v>
      </c>
      <c r="P57" s="2" t="s">
        <v>113</v>
      </c>
      <c r="Q57" s="2" t="s">
        <v>87</v>
      </c>
      <c r="R57" s="2" t="s">
        <v>90</v>
      </c>
      <c r="S57" s="2" t="s">
        <v>89</v>
      </c>
      <c r="T57" s="2">
        <v>4.0999999999999996</v>
      </c>
      <c r="U57" s="1">
        <v>45450</v>
      </c>
      <c r="V57" s="11" t="s">
        <v>105</v>
      </c>
      <c r="W57" s="10" t="s">
        <v>114</v>
      </c>
    </row>
    <row r="58" spans="3:30" hidden="1">
      <c r="V58" t="s">
        <v>106</v>
      </c>
    </row>
    <row r="59" spans="3:30" hidden="1">
      <c r="V59" t="s">
        <v>115</v>
      </c>
    </row>
    <row r="60" spans="3:30">
      <c r="C60" t="s">
        <v>5</v>
      </c>
      <c r="V60" t="s">
        <v>116</v>
      </c>
    </row>
    <row r="61" spans="3:30">
      <c r="D61" t="s">
        <v>117</v>
      </c>
      <c r="V61" t="s">
        <v>118</v>
      </c>
    </row>
    <row r="62" spans="3:30">
      <c r="D62" t="s">
        <v>119</v>
      </c>
      <c r="V62" t="s">
        <v>120</v>
      </c>
    </row>
    <row r="63" spans="3:30">
      <c r="V63" t="s">
        <v>121</v>
      </c>
    </row>
    <row r="64" spans="3:30">
      <c r="E64" t="s">
        <v>122</v>
      </c>
    </row>
    <row r="65" spans="4:12">
      <c r="F65" t="s">
        <v>123</v>
      </c>
      <c r="G65" t="s">
        <v>76</v>
      </c>
    </row>
    <row r="66" spans="4:12">
      <c r="F66" s="3" t="s">
        <v>78</v>
      </c>
      <c r="G66" s="3" t="s">
        <v>79</v>
      </c>
      <c r="H66" s="3" t="s">
        <v>80</v>
      </c>
      <c r="I66" s="3" t="s">
        <v>81</v>
      </c>
      <c r="J66" s="3" t="s">
        <v>82</v>
      </c>
      <c r="K66" s="4" t="s">
        <v>83</v>
      </c>
      <c r="L66" s="3" t="s">
        <v>84</v>
      </c>
    </row>
    <row r="67" spans="4:12">
      <c r="F67" s="2" t="s">
        <v>85</v>
      </c>
      <c r="G67" s="2" t="s">
        <v>86</v>
      </c>
      <c r="H67" s="2" t="s">
        <v>87</v>
      </c>
      <c r="I67" s="2" t="s">
        <v>90</v>
      </c>
      <c r="J67" s="2" t="s">
        <v>91</v>
      </c>
      <c r="K67" s="2">
        <v>1.6</v>
      </c>
      <c r="L67" s="1">
        <v>45450</v>
      </c>
    </row>
    <row r="68" spans="4:12">
      <c r="F68" s="2" t="s">
        <v>85</v>
      </c>
      <c r="G68" s="2" t="s">
        <v>86</v>
      </c>
      <c r="H68" s="2" t="s">
        <v>87</v>
      </c>
      <c r="I68" s="2" t="s">
        <v>88</v>
      </c>
      <c r="J68" s="2" t="s">
        <v>89</v>
      </c>
      <c r="K68" s="2">
        <v>1.5</v>
      </c>
      <c r="L68" s="1">
        <v>45450</v>
      </c>
    </row>
    <row r="70" spans="4:12">
      <c r="F70" t="s">
        <v>123</v>
      </c>
      <c r="G70" t="s">
        <v>93</v>
      </c>
    </row>
    <row r="71" spans="4:12">
      <c r="F71" s="6" t="s">
        <v>78</v>
      </c>
      <c r="G71" s="6" t="s">
        <v>79</v>
      </c>
      <c r="H71" s="6" t="s">
        <v>80</v>
      </c>
      <c r="I71" s="5" t="s">
        <v>81</v>
      </c>
      <c r="J71" s="5" t="s">
        <v>82</v>
      </c>
      <c r="K71" s="5" t="s">
        <v>83</v>
      </c>
      <c r="L71" s="6" t="s">
        <v>84</v>
      </c>
    </row>
    <row r="73" spans="4:12" ht="18.600000000000001" thickBot="1">
      <c r="F73" t="s">
        <v>124</v>
      </c>
      <c r="G73" t="s">
        <v>93</v>
      </c>
    </row>
    <row r="74" spans="4:12" ht="18.600000000000001" thickBot="1">
      <c r="F74" s="6" t="s">
        <v>78</v>
      </c>
      <c r="G74" s="6" t="s">
        <v>79</v>
      </c>
      <c r="H74" s="15" t="s">
        <v>80</v>
      </c>
      <c r="I74" s="17" t="s">
        <v>81</v>
      </c>
      <c r="J74" s="18" t="s">
        <v>82</v>
      </c>
      <c r="K74" s="16" t="s">
        <v>83</v>
      </c>
      <c r="L74" s="6" t="s">
        <v>84</v>
      </c>
    </row>
    <row r="77" spans="4:12">
      <c r="D77" t="s">
        <v>125</v>
      </c>
    </row>
    <row r="79" spans="4:12">
      <c r="F79" t="s">
        <v>93</v>
      </c>
    </row>
    <row r="80" spans="4:12">
      <c r="F80" s="6" t="s">
        <v>78</v>
      </c>
      <c r="G80" s="6" t="s">
        <v>79</v>
      </c>
      <c r="H80" s="6" t="s">
        <v>80</v>
      </c>
      <c r="I80" s="6" t="s">
        <v>81</v>
      </c>
      <c r="J80" s="6" t="s">
        <v>82</v>
      </c>
      <c r="K80" s="5" t="s">
        <v>83</v>
      </c>
      <c r="L80" s="6" t="s">
        <v>84</v>
      </c>
    </row>
    <row r="81" spans="6:15">
      <c r="F81" s="2" t="s">
        <v>85</v>
      </c>
      <c r="G81" s="2" t="s">
        <v>86</v>
      </c>
      <c r="H81" s="2" t="s">
        <v>87</v>
      </c>
      <c r="I81" s="2" t="s">
        <v>90</v>
      </c>
      <c r="J81" s="2" t="s">
        <v>91</v>
      </c>
      <c r="K81" s="2">
        <v>1.6</v>
      </c>
      <c r="L81" s="1">
        <v>45450</v>
      </c>
      <c r="N81" t="s">
        <v>105</v>
      </c>
      <c r="O81" t="s">
        <v>126</v>
      </c>
    </row>
    <row r="82" spans="6:15">
      <c r="F82" s="2" t="s">
        <v>85</v>
      </c>
      <c r="G82" s="2" t="s">
        <v>86</v>
      </c>
      <c r="H82" s="2" t="s">
        <v>87</v>
      </c>
      <c r="I82" s="2" t="s">
        <v>88</v>
      </c>
      <c r="J82" s="2" t="s">
        <v>89</v>
      </c>
      <c r="K82" s="2">
        <v>1.5</v>
      </c>
      <c r="L82" s="1">
        <v>45450</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D82"/>
  <sheetViews>
    <sheetView topLeftCell="A38" zoomScale="130" zoomScaleNormal="130" workbookViewId="0">
      <selection activeCell="C54" sqref="C54"/>
    </sheetView>
  </sheetViews>
  <sheetFormatPr defaultRowHeight="18"/>
  <cols>
    <col min="4" max="4" width="9.25" bestFit="1" customWidth="1"/>
    <col min="11" max="11" width="10.25" bestFit="1" customWidth="1"/>
  </cols>
  <sheetData>
    <row r="3" spans="2:12">
      <c r="B3" t="s">
        <v>67</v>
      </c>
    </row>
    <row r="5" spans="2:12">
      <c r="C5" t="s">
        <v>68</v>
      </c>
    </row>
    <row r="6" spans="2:12">
      <c r="D6" t="s">
        <v>127</v>
      </c>
    </row>
    <row r="7" spans="2:12">
      <c r="D7" t="s">
        <v>128</v>
      </c>
    </row>
    <row r="8" spans="2:12">
      <c r="D8" t="s">
        <v>129</v>
      </c>
    </row>
    <row r="9" spans="2:12">
      <c r="D9" t="s">
        <v>72</v>
      </c>
    </row>
    <row r="11" spans="2:12">
      <c r="D11" t="s">
        <v>73</v>
      </c>
    </row>
    <row r="13" spans="2:12">
      <c r="E13" t="s">
        <v>74</v>
      </c>
    </row>
    <row r="15" spans="2:12">
      <c r="D15" t="s">
        <v>75</v>
      </c>
      <c r="E15" t="s">
        <v>76</v>
      </c>
    </row>
    <row r="16" spans="2:12">
      <c r="E16" s="4" t="s">
        <v>77</v>
      </c>
      <c r="F16" s="7" t="s">
        <v>78</v>
      </c>
      <c r="G16" s="8" t="s">
        <v>79</v>
      </c>
      <c r="H16" s="8" t="s">
        <v>80</v>
      </c>
      <c r="I16" s="8" t="s">
        <v>81</v>
      </c>
      <c r="J16" s="8" t="s">
        <v>82</v>
      </c>
      <c r="K16" s="4" t="s">
        <v>83</v>
      </c>
      <c r="L16" s="8" t="s">
        <v>130</v>
      </c>
    </row>
    <row r="17" spans="4:15">
      <c r="E17" s="1">
        <v>45451</v>
      </c>
      <c r="F17" s="2" t="s">
        <v>85</v>
      </c>
      <c r="G17" s="2" t="s">
        <v>86</v>
      </c>
      <c r="H17" s="2" t="s">
        <v>87</v>
      </c>
      <c r="I17" s="2" t="s">
        <v>88</v>
      </c>
      <c r="J17" s="2" t="s">
        <v>91</v>
      </c>
      <c r="K17" s="2">
        <v>1.5</v>
      </c>
      <c r="L17" s="1">
        <v>45450</v>
      </c>
    </row>
    <row r="18" spans="4:15">
      <c r="E18" s="1">
        <v>45452</v>
      </c>
      <c r="F18" s="2" t="s">
        <v>85</v>
      </c>
      <c r="G18" s="2" t="s">
        <v>86</v>
      </c>
      <c r="H18" s="2" t="s">
        <v>87</v>
      </c>
      <c r="I18" s="2" t="s">
        <v>90</v>
      </c>
      <c r="J18" s="2" t="s">
        <v>89</v>
      </c>
      <c r="K18" s="2">
        <v>1.6</v>
      </c>
      <c r="L18" s="1">
        <v>45450</v>
      </c>
    </row>
    <row r="20" spans="4:15">
      <c r="D20" t="s">
        <v>92</v>
      </c>
      <c r="E20" t="s">
        <v>93</v>
      </c>
    </row>
    <row r="21" spans="4:15">
      <c r="E21" s="5" t="s">
        <v>98</v>
      </c>
      <c r="F21" s="6" t="s">
        <v>78</v>
      </c>
      <c r="G21" s="6" t="s">
        <v>79</v>
      </c>
      <c r="H21" s="6" t="s">
        <v>80</v>
      </c>
      <c r="I21" s="5" t="s">
        <v>81</v>
      </c>
      <c r="J21" s="5" t="s">
        <v>82</v>
      </c>
      <c r="K21" s="5" t="s">
        <v>83</v>
      </c>
      <c r="L21" s="6" t="s">
        <v>130</v>
      </c>
    </row>
    <row r="22" spans="4:15">
      <c r="E22" s="1">
        <v>45452</v>
      </c>
      <c r="F22" s="2" t="s">
        <v>85</v>
      </c>
      <c r="G22" s="2" t="s">
        <v>86</v>
      </c>
      <c r="H22" s="2" t="s">
        <v>87</v>
      </c>
      <c r="I22" s="2" t="s">
        <v>90</v>
      </c>
      <c r="J22" s="2" t="s">
        <v>89</v>
      </c>
      <c r="K22" s="2">
        <v>1.6</v>
      </c>
      <c r="L22" s="1">
        <v>45450</v>
      </c>
      <c r="N22" t="s">
        <v>95</v>
      </c>
      <c r="O22" t="s">
        <v>96</v>
      </c>
    </row>
    <row r="25" spans="4:15">
      <c r="D25" t="s">
        <v>97</v>
      </c>
    </row>
    <row r="26" spans="4:15">
      <c r="E26" t="s">
        <v>76</v>
      </c>
    </row>
    <row r="27" spans="4:15">
      <c r="E27" s="4" t="s">
        <v>77</v>
      </c>
      <c r="F27" s="3" t="s">
        <v>78</v>
      </c>
      <c r="G27" s="3" t="s">
        <v>79</v>
      </c>
      <c r="H27" s="3" t="s">
        <v>80</v>
      </c>
      <c r="I27" s="3" t="s">
        <v>81</v>
      </c>
      <c r="J27" s="3" t="s">
        <v>82</v>
      </c>
      <c r="K27" s="4" t="s">
        <v>83</v>
      </c>
      <c r="L27" s="3" t="s">
        <v>130</v>
      </c>
    </row>
    <row r="28" spans="4:15">
      <c r="E28" s="1">
        <v>45451</v>
      </c>
      <c r="F28" s="2" t="s">
        <v>85</v>
      </c>
      <c r="G28" s="2" t="s">
        <v>86</v>
      </c>
      <c r="H28" s="2" t="s">
        <v>87</v>
      </c>
      <c r="I28" s="2" t="s">
        <v>90</v>
      </c>
      <c r="J28" s="2" t="s">
        <v>91</v>
      </c>
      <c r="K28" s="2">
        <v>1.6</v>
      </c>
      <c r="L28" s="1">
        <v>45450</v>
      </c>
    </row>
    <row r="29" spans="4:15">
      <c r="E29" s="1">
        <v>45452</v>
      </c>
      <c r="F29" s="2" t="s">
        <v>85</v>
      </c>
      <c r="G29" s="2" t="s">
        <v>86</v>
      </c>
      <c r="H29" s="2" t="s">
        <v>87</v>
      </c>
      <c r="I29" s="2" t="s">
        <v>88</v>
      </c>
      <c r="J29" s="2" t="s">
        <v>89</v>
      </c>
      <c r="K29" s="2">
        <v>1.5</v>
      </c>
      <c r="L29" s="1">
        <v>45450</v>
      </c>
    </row>
    <row r="31" spans="4:15">
      <c r="E31" t="s">
        <v>93</v>
      </c>
    </row>
    <row r="32" spans="4:15">
      <c r="E32" s="5" t="s">
        <v>98</v>
      </c>
      <c r="F32" s="6" t="s">
        <v>78</v>
      </c>
      <c r="G32" s="6" t="s">
        <v>79</v>
      </c>
      <c r="H32" s="6" t="s">
        <v>80</v>
      </c>
      <c r="I32" s="5" t="s">
        <v>81</v>
      </c>
      <c r="J32" s="5" t="s">
        <v>82</v>
      </c>
      <c r="K32" s="5" t="s">
        <v>83</v>
      </c>
      <c r="L32" s="6" t="s">
        <v>130</v>
      </c>
    </row>
    <row r="33" spans="4:29">
      <c r="E33" s="1">
        <v>45452</v>
      </c>
      <c r="F33" s="2" t="s">
        <v>85</v>
      </c>
      <c r="G33" s="2" t="s">
        <v>86</v>
      </c>
      <c r="H33" s="2" t="s">
        <v>87</v>
      </c>
      <c r="I33" s="2" t="s">
        <v>88</v>
      </c>
      <c r="J33" s="2" t="s">
        <v>89</v>
      </c>
      <c r="K33" s="2">
        <v>1.5</v>
      </c>
      <c r="L33" s="1">
        <v>45450</v>
      </c>
      <c r="N33" t="s">
        <v>95</v>
      </c>
      <c r="O33" t="s">
        <v>99</v>
      </c>
    </row>
    <row r="36" spans="4:29">
      <c r="D36" t="s">
        <v>131</v>
      </c>
    </row>
    <row r="37" spans="4:29">
      <c r="E37" t="s">
        <v>101</v>
      </c>
    </row>
    <row r="39" spans="4:29">
      <c r="F39" s="9">
        <v>45451</v>
      </c>
    </row>
    <row r="40" spans="4:29">
      <c r="G40" t="s">
        <v>102</v>
      </c>
      <c r="O40" t="s">
        <v>103</v>
      </c>
      <c r="W40" t="s">
        <v>104</v>
      </c>
    </row>
    <row r="41" spans="4:29">
      <c r="G41" s="7" t="s">
        <v>78</v>
      </c>
      <c r="H41" s="8" t="s">
        <v>79</v>
      </c>
      <c r="I41" s="8" t="s">
        <v>80</v>
      </c>
      <c r="J41" s="8" t="s">
        <v>81</v>
      </c>
      <c r="K41" s="8" t="s">
        <v>82</v>
      </c>
      <c r="L41" s="4" t="s">
        <v>83</v>
      </c>
      <c r="M41" s="8" t="s">
        <v>130</v>
      </c>
      <c r="O41" s="7" t="s">
        <v>78</v>
      </c>
      <c r="P41" s="8" t="s">
        <v>79</v>
      </c>
      <c r="Q41" s="8" t="s">
        <v>80</v>
      </c>
      <c r="R41" s="8" t="s">
        <v>81</v>
      </c>
      <c r="S41" s="8" t="s">
        <v>82</v>
      </c>
      <c r="T41" s="4" t="s">
        <v>83</v>
      </c>
      <c r="U41" s="8" t="s">
        <v>130</v>
      </c>
      <c r="W41" s="6" t="s">
        <v>78</v>
      </c>
      <c r="X41" s="6" t="s">
        <v>79</v>
      </c>
      <c r="Y41" s="6" t="s">
        <v>80</v>
      </c>
      <c r="Z41" s="5" t="s">
        <v>81</v>
      </c>
      <c r="AA41" s="5" t="s">
        <v>82</v>
      </c>
      <c r="AB41" s="5" t="s">
        <v>83</v>
      </c>
      <c r="AC41" s="6" t="s">
        <v>130</v>
      </c>
    </row>
    <row r="42" spans="4:29">
      <c r="G42" s="2" t="s">
        <v>85</v>
      </c>
      <c r="H42" s="2" t="s">
        <v>86</v>
      </c>
      <c r="I42" s="2" t="s">
        <v>87</v>
      </c>
      <c r="J42" s="2" t="s">
        <v>88</v>
      </c>
      <c r="K42" s="2" t="s">
        <v>91</v>
      </c>
      <c r="L42" s="2">
        <v>1.5</v>
      </c>
      <c r="M42" s="1">
        <v>45450</v>
      </c>
      <c r="N42" s="11" t="s">
        <v>105</v>
      </c>
      <c r="O42" s="2" t="s">
        <v>85</v>
      </c>
      <c r="P42" s="2" t="s">
        <v>86</v>
      </c>
      <c r="Q42" s="2" t="s">
        <v>87</v>
      </c>
      <c r="R42" s="2" t="s">
        <v>88</v>
      </c>
      <c r="S42" s="2" t="s">
        <v>91</v>
      </c>
      <c r="T42" s="2">
        <v>1.5</v>
      </c>
      <c r="U42" s="1">
        <v>45450</v>
      </c>
      <c r="V42" s="11" t="s">
        <v>105</v>
      </c>
      <c r="W42" s="2" t="s">
        <v>85</v>
      </c>
      <c r="X42" s="2" t="s">
        <v>86</v>
      </c>
      <c r="Y42" s="2" t="s">
        <v>87</v>
      </c>
      <c r="Z42" s="2" t="s">
        <v>88</v>
      </c>
      <c r="AA42" s="2" t="s">
        <v>91</v>
      </c>
      <c r="AB42" s="2">
        <v>1.5</v>
      </c>
      <c r="AC42" s="1">
        <v>45450</v>
      </c>
    </row>
    <row r="45" spans="4:29">
      <c r="F45" s="9">
        <v>45452</v>
      </c>
      <c r="G45" t="s">
        <v>102</v>
      </c>
      <c r="O45" t="s">
        <v>103</v>
      </c>
      <c r="W45" t="s">
        <v>104</v>
      </c>
    </row>
    <row r="46" spans="4:29">
      <c r="G46" s="7" t="s">
        <v>78</v>
      </c>
      <c r="H46" s="8" t="s">
        <v>79</v>
      </c>
      <c r="I46" s="8" t="s">
        <v>80</v>
      </c>
      <c r="J46" s="8" t="s">
        <v>81</v>
      </c>
      <c r="K46" s="8" t="s">
        <v>82</v>
      </c>
      <c r="L46" s="4" t="s">
        <v>83</v>
      </c>
      <c r="M46" s="8" t="s">
        <v>130</v>
      </c>
      <c r="O46" s="7" t="s">
        <v>78</v>
      </c>
      <c r="P46" s="8" t="s">
        <v>79</v>
      </c>
      <c r="Q46" s="8" t="s">
        <v>80</v>
      </c>
      <c r="R46" s="8" t="s">
        <v>81</v>
      </c>
      <c r="S46" s="8" t="s">
        <v>82</v>
      </c>
      <c r="T46" s="4" t="s">
        <v>83</v>
      </c>
      <c r="U46" s="8" t="s">
        <v>130</v>
      </c>
      <c r="W46" s="6" t="s">
        <v>78</v>
      </c>
      <c r="X46" s="6" t="s">
        <v>79</v>
      </c>
      <c r="Y46" s="6" t="s">
        <v>80</v>
      </c>
      <c r="Z46" s="5" t="s">
        <v>81</v>
      </c>
      <c r="AA46" s="5" t="s">
        <v>82</v>
      </c>
      <c r="AB46" s="5" t="s">
        <v>83</v>
      </c>
      <c r="AC46" s="6" t="s">
        <v>130</v>
      </c>
    </row>
    <row r="47" spans="4:29">
      <c r="G47" s="2" t="s">
        <v>85</v>
      </c>
      <c r="H47" s="2" t="s">
        <v>86</v>
      </c>
      <c r="I47" s="2" t="s">
        <v>87</v>
      </c>
      <c r="J47" s="2" t="s">
        <v>90</v>
      </c>
      <c r="K47" s="2" t="s">
        <v>89</v>
      </c>
      <c r="L47" s="2">
        <v>1.6</v>
      </c>
      <c r="M47" s="1">
        <v>45450</v>
      </c>
      <c r="N47" s="11" t="s">
        <v>105</v>
      </c>
      <c r="O47" s="2" t="s">
        <v>85</v>
      </c>
      <c r="P47" s="2" t="s">
        <v>86</v>
      </c>
      <c r="Q47" s="2" t="s">
        <v>87</v>
      </c>
      <c r="R47" s="2" t="s">
        <v>90</v>
      </c>
      <c r="S47" s="2" t="s">
        <v>89</v>
      </c>
      <c r="T47" s="2">
        <v>1.6</v>
      </c>
      <c r="U47" s="1">
        <v>45450</v>
      </c>
      <c r="V47" s="11" t="s">
        <v>105</v>
      </c>
      <c r="W47" s="2" t="s">
        <v>85</v>
      </c>
      <c r="X47" s="2" t="s">
        <v>86</v>
      </c>
      <c r="Y47" s="2" t="s">
        <v>87</v>
      </c>
      <c r="Z47" s="2" t="s">
        <v>90</v>
      </c>
      <c r="AA47" s="2" t="s">
        <v>89</v>
      </c>
      <c r="AB47" s="2">
        <v>1.5</v>
      </c>
      <c r="AC47" s="1">
        <v>45450</v>
      </c>
    </row>
    <row r="48" spans="4:29">
      <c r="G48" s="2" t="s">
        <v>85</v>
      </c>
      <c r="H48" s="2" t="s">
        <v>86</v>
      </c>
      <c r="I48" s="2" t="s">
        <v>87</v>
      </c>
      <c r="J48" s="2" t="s">
        <v>88</v>
      </c>
      <c r="K48" s="2" t="s">
        <v>91</v>
      </c>
      <c r="L48" s="2">
        <v>1.5</v>
      </c>
      <c r="M48" s="1">
        <v>45450</v>
      </c>
    </row>
    <row r="51" spans="3:30">
      <c r="E51" t="s">
        <v>109</v>
      </c>
    </row>
    <row r="53" spans="3:30">
      <c r="F53" s="9">
        <v>45452</v>
      </c>
      <c r="G53" t="s">
        <v>102</v>
      </c>
      <c r="O53" t="s">
        <v>103</v>
      </c>
      <c r="W53" t="s">
        <v>104</v>
      </c>
    </row>
    <row r="54" spans="3:30">
      <c r="G54" s="7" t="s">
        <v>78</v>
      </c>
      <c r="H54" s="8" t="s">
        <v>79</v>
      </c>
      <c r="I54" s="8" t="s">
        <v>80</v>
      </c>
      <c r="J54" s="8" t="s">
        <v>81</v>
      </c>
      <c r="K54" s="8" t="s">
        <v>82</v>
      </c>
      <c r="L54" s="4" t="s">
        <v>83</v>
      </c>
      <c r="M54" s="8" t="s">
        <v>130</v>
      </c>
      <c r="O54" s="7" t="s">
        <v>78</v>
      </c>
      <c r="P54" s="8" t="s">
        <v>79</v>
      </c>
      <c r="Q54" s="8" t="s">
        <v>80</v>
      </c>
      <c r="R54" s="8" t="s">
        <v>81</v>
      </c>
      <c r="S54" s="8" t="s">
        <v>82</v>
      </c>
      <c r="T54" s="4" t="s">
        <v>83</v>
      </c>
      <c r="U54" s="8" t="s">
        <v>130</v>
      </c>
      <c r="W54" s="6" t="s">
        <v>78</v>
      </c>
      <c r="X54" s="6" t="s">
        <v>79</v>
      </c>
      <c r="Y54" s="6" t="s">
        <v>80</v>
      </c>
      <c r="Z54" s="5" t="s">
        <v>81</v>
      </c>
      <c r="AA54" s="5" t="s">
        <v>82</v>
      </c>
      <c r="AB54" s="5" t="s">
        <v>83</v>
      </c>
      <c r="AC54" s="6" t="s">
        <v>130</v>
      </c>
    </row>
    <row r="55" spans="3:30">
      <c r="G55" s="2" t="s">
        <v>85</v>
      </c>
      <c r="H55" s="2" t="s">
        <v>86</v>
      </c>
      <c r="I55" s="2" t="s">
        <v>87</v>
      </c>
      <c r="J55" s="2" t="s">
        <v>90</v>
      </c>
      <c r="K55" s="2" t="s">
        <v>89</v>
      </c>
      <c r="L55" s="2">
        <v>1.6</v>
      </c>
      <c r="M55" s="1">
        <v>45450</v>
      </c>
      <c r="N55" s="11" t="s">
        <v>105</v>
      </c>
      <c r="O55" s="2" t="s">
        <v>85</v>
      </c>
      <c r="P55" s="2" t="s">
        <v>86</v>
      </c>
      <c r="Q55" s="2" t="s">
        <v>87</v>
      </c>
      <c r="R55" s="2" t="s">
        <v>90</v>
      </c>
      <c r="S55" s="2" t="s">
        <v>89</v>
      </c>
      <c r="T55" s="2">
        <v>1.6</v>
      </c>
      <c r="U55" s="1">
        <v>45450</v>
      </c>
      <c r="V55" s="11" t="s">
        <v>105</v>
      </c>
      <c r="W55" s="2" t="s">
        <v>85</v>
      </c>
      <c r="X55" s="2" t="s">
        <v>86</v>
      </c>
      <c r="Y55" s="2" t="s">
        <v>87</v>
      </c>
      <c r="Z55" s="2" t="s">
        <v>90</v>
      </c>
      <c r="AA55" s="2" t="s">
        <v>89</v>
      </c>
      <c r="AB55" s="2">
        <v>1.5</v>
      </c>
      <c r="AC55" s="1">
        <v>45450</v>
      </c>
      <c r="AD55" s="10" t="s">
        <v>132</v>
      </c>
    </row>
    <row r="56" spans="3:30">
      <c r="G56" s="2" t="s">
        <v>85</v>
      </c>
      <c r="H56" s="2" t="s">
        <v>86</v>
      </c>
      <c r="I56" s="2" t="s">
        <v>87</v>
      </c>
      <c r="J56" s="2" t="s">
        <v>88</v>
      </c>
      <c r="K56" s="2" t="s">
        <v>91</v>
      </c>
      <c r="L56" s="2">
        <v>1.5</v>
      </c>
      <c r="M56" s="1">
        <v>45450</v>
      </c>
      <c r="O56" s="2" t="s">
        <v>85</v>
      </c>
      <c r="P56" s="2" t="s">
        <v>86</v>
      </c>
      <c r="Q56" s="2" t="s">
        <v>87</v>
      </c>
      <c r="R56" s="2" t="s">
        <v>88</v>
      </c>
      <c r="S56" s="2" t="s">
        <v>91</v>
      </c>
      <c r="T56" s="2">
        <v>1.5</v>
      </c>
      <c r="U56" s="1">
        <v>45450</v>
      </c>
      <c r="V56" s="11" t="s">
        <v>105</v>
      </c>
      <c r="W56" s="10" t="s">
        <v>133</v>
      </c>
    </row>
    <row r="57" spans="3:30">
      <c r="G57" s="2" t="s">
        <v>112</v>
      </c>
      <c r="H57" s="2" t="s">
        <v>113</v>
      </c>
      <c r="I57" s="2" t="s">
        <v>87</v>
      </c>
      <c r="J57" s="2" t="s">
        <v>90</v>
      </c>
      <c r="K57" s="2" t="s">
        <v>89</v>
      </c>
      <c r="L57" s="2">
        <v>4.0999999999999996</v>
      </c>
      <c r="M57" s="1">
        <v>45450</v>
      </c>
      <c r="O57" s="2" t="s">
        <v>112</v>
      </c>
      <c r="P57" s="2" t="s">
        <v>113</v>
      </c>
      <c r="Q57" s="2" t="s">
        <v>87</v>
      </c>
      <c r="R57" s="2" t="s">
        <v>90</v>
      </c>
      <c r="S57" s="2" t="s">
        <v>89</v>
      </c>
      <c r="T57" s="2">
        <v>4.0999999999999996</v>
      </c>
      <c r="U57" s="1">
        <v>45450</v>
      </c>
      <c r="V57" s="11" t="s">
        <v>105</v>
      </c>
      <c r="W57" s="10" t="s">
        <v>134</v>
      </c>
    </row>
    <row r="60" spans="3:30">
      <c r="C60" t="s">
        <v>5</v>
      </c>
    </row>
    <row r="61" spans="3:30">
      <c r="D61" t="s">
        <v>117</v>
      </c>
    </row>
    <row r="62" spans="3:30">
      <c r="D62" t="s">
        <v>119</v>
      </c>
    </row>
    <row r="64" spans="3:30">
      <c r="D64" t="s">
        <v>122</v>
      </c>
    </row>
    <row r="65" spans="4:12">
      <c r="E65" t="s">
        <v>76</v>
      </c>
    </row>
    <row r="66" spans="4:12">
      <c r="E66" s="4" t="s">
        <v>77</v>
      </c>
      <c r="F66" s="3" t="s">
        <v>78</v>
      </c>
      <c r="G66" s="3" t="s">
        <v>79</v>
      </c>
      <c r="H66" s="3" t="s">
        <v>80</v>
      </c>
      <c r="I66" s="3" t="s">
        <v>81</v>
      </c>
      <c r="J66" s="3" t="s">
        <v>82</v>
      </c>
      <c r="K66" s="4" t="s">
        <v>83</v>
      </c>
      <c r="L66" s="3" t="s">
        <v>130</v>
      </c>
    </row>
    <row r="67" spans="4:12">
      <c r="E67" s="1">
        <v>45451</v>
      </c>
      <c r="F67" s="2" t="s">
        <v>85</v>
      </c>
      <c r="G67" s="2" t="s">
        <v>86</v>
      </c>
      <c r="H67" s="2" t="s">
        <v>87</v>
      </c>
      <c r="I67" s="2" t="s">
        <v>90</v>
      </c>
      <c r="J67" s="2" t="s">
        <v>91</v>
      </c>
      <c r="K67" s="2">
        <v>1.6</v>
      </c>
      <c r="L67" s="1">
        <v>45450</v>
      </c>
    </row>
    <row r="68" spans="4:12">
      <c r="E68" s="1">
        <v>45452</v>
      </c>
      <c r="F68" s="2" t="s">
        <v>85</v>
      </c>
      <c r="G68" s="2" t="s">
        <v>86</v>
      </c>
      <c r="H68" s="2" t="s">
        <v>87</v>
      </c>
      <c r="I68" s="2" t="s">
        <v>88</v>
      </c>
      <c r="J68" s="2" t="s">
        <v>89</v>
      </c>
      <c r="K68" s="2">
        <v>1.5</v>
      </c>
      <c r="L68" s="1">
        <v>45450</v>
      </c>
    </row>
    <row r="70" spans="4:12">
      <c r="D70" t="s">
        <v>123</v>
      </c>
      <c r="E70" t="s">
        <v>93</v>
      </c>
    </row>
    <row r="71" spans="4:12">
      <c r="E71" s="5" t="s">
        <v>98</v>
      </c>
      <c r="F71" s="6" t="s">
        <v>78</v>
      </c>
      <c r="G71" s="6" t="s">
        <v>79</v>
      </c>
      <c r="H71" s="6" t="s">
        <v>80</v>
      </c>
      <c r="I71" s="5" t="s">
        <v>81</v>
      </c>
      <c r="J71" s="5" t="s">
        <v>82</v>
      </c>
      <c r="K71" s="5" t="s">
        <v>83</v>
      </c>
      <c r="L71" s="6" t="s">
        <v>130</v>
      </c>
    </row>
    <row r="73" spans="4:12">
      <c r="D73" t="s">
        <v>124</v>
      </c>
      <c r="E73" t="s">
        <v>93</v>
      </c>
      <c r="I73" t="s">
        <v>135</v>
      </c>
      <c r="J73" t="s">
        <v>135</v>
      </c>
    </row>
    <row r="74" spans="4:12">
      <c r="E74" s="5" t="s">
        <v>98</v>
      </c>
      <c r="F74" s="6" t="s">
        <v>78</v>
      </c>
      <c r="G74" s="6" t="s">
        <v>79</v>
      </c>
      <c r="H74" s="6" t="s">
        <v>80</v>
      </c>
      <c r="I74" s="6" t="s">
        <v>81</v>
      </c>
      <c r="J74" s="6" t="s">
        <v>82</v>
      </c>
      <c r="K74" s="5" t="s">
        <v>83</v>
      </c>
      <c r="L74" s="6" t="s">
        <v>130</v>
      </c>
    </row>
    <row r="77" spans="4:12">
      <c r="D77" t="s">
        <v>125</v>
      </c>
    </row>
    <row r="79" spans="4:12">
      <c r="E79" t="s">
        <v>93</v>
      </c>
    </row>
    <row r="80" spans="4:12">
      <c r="E80" s="5" t="s">
        <v>98</v>
      </c>
      <c r="F80" s="6" t="s">
        <v>78</v>
      </c>
      <c r="G80" s="6" t="s">
        <v>79</v>
      </c>
      <c r="H80" s="6" t="s">
        <v>80</v>
      </c>
      <c r="I80" s="6" t="s">
        <v>81</v>
      </c>
      <c r="J80" s="6" t="s">
        <v>82</v>
      </c>
      <c r="K80" s="5" t="s">
        <v>83</v>
      </c>
      <c r="L80" s="6" t="s">
        <v>130</v>
      </c>
    </row>
    <row r="81" spans="5:15">
      <c r="E81" s="1">
        <v>45451</v>
      </c>
      <c r="F81" s="2" t="s">
        <v>85</v>
      </c>
      <c r="G81" s="2" t="s">
        <v>86</v>
      </c>
      <c r="H81" s="2" t="s">
        <v>87</v>
      </c>
      <c r="I81" s="2" t="s">
        <v>90</v>
      </c>
      <c r="J81" s="2" t="s">
        <v>91</v>
      </c>
      <c r="K81" s="2">
        <v>1.6</v>
      </c>
      <c r="L81" s="1">
        <v>45450</v>
      </c>
      <c r="N81" t="s">
        <v>105</v>
      </c>
      <c r="O81" t="s">
        <v>126</v>
      </c>
    </row>
    <row r="82" spans="5:15">
      <c r="E82" s="1">
        <v>45452</v>
      </c>
      <c r="F82" s="2" t="s">
        <v>85</v>
      </c>
      <c r="G82" s="2" t="s">
        <v>86</v>
      </c>
      <c r="H82" s="2" t="s">
        <v>87</v>
      </c>
      <c r="I82" s="2" t="s">
        <v>88</v>
      </c>
      <c r="J82" s="2" t="s">
        <v>89</v>
      </c>
      <c r="K82" s="2">
        <v>1.5</v>
      </c>
      <c r="L82" s="1">
        <v>45450</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AD50"/>
  <sheetViews>
    <sheetView topLeftCell="C10" zoomScale="130" zoomScaleNormal="130" workbookViewId="0">
      <selection activeCell="C54" sqref="C54"/>
    </sheetView>
  </sheetViews>
  <sheetFormatPr defaultRowHeight="18"/>
  <sheetData>
    <row r="3" spans="2:29">
      <c r="B3" t="s">
        <v>136</v>
      </c>
    </row>
    <row r="5" spans="2:29">
      <c r="C5" t="s">
        <v>137</v>
      </c>
    </row>
    <row r="7" spans="2:29">
      <c r="D7" t="s">
        <v>138</v>
      </c>
    </row>
    <row r="8" spans="2:29">
      <c r="D8" t="s">
        <v>139</v>
      </c>
    </row>
    <row r="9" spans="2:29">
      <c r="D9" t="s">
        <v>140</v>
      </c>
    </row>
    <row r="10" spans="2:29">
      <c r="D10" t="s">
        <v>141</v>
      </c>
    </row>
    <row r="12" spans="2:29">
      <c r="E12" t="s">
        <v>101</v>
      </c>
    </row>
    <row r="14" spans="2:29">
      <c r="F14" s="9">
        <v>45451</v>
      </c>
    </row>
    <row r="15" spans="2:29">
      <c r="G15" t="s">
        <v>102</v>
      </c>
      <c r="O15" t="s">
        <v>103</v>
      </c>
      <c r="W15" t="s">
        <v>104</v>
      </c>
    </row>
    <row r="16" spans="2:29">
      <c r="G16" s="7" t="s">
        <v>78</v>
      </c>
      <c r="H16" s="8" t="s">
        <v>79</v>
      </c>
      <c r="I16" s="8" t="s">
        <v>80</v>
      </c>
      <c r="J16" s="8" t="s">
        <v>81</v>
      </c>
      <c r="K16" s="8" t="s">
        <v>82</v>
      </c>
      <c r="L16" s="4" t="s">
        <v>83</v>
      </c>
      <c r="M16" s="8" t="s">
        <v>130</v>
      </c>
      <c r="O16" s="7" t="s">
        <v>78</v>
      </c>
      <c r="P16" s="8" t="s">
        <v>79</v>
      </c>
      <c r="Q16" s="8" t="s">
        <v>80</v>
      </c>
      <c r="R16" s="8" t="s">
        <v>81</v>
      </c>
      <c r="S16" s="8" t="s">
        <v>82</v>
      </c>
      <c r="T16" s="4" t="s">
        <v>83</v>
      </c>
      <c r="U16" s="8" t="s">
        <v>130</v>
      </c>
      <c r="W16" s="6" t="s">
        <v>78</v>
      </c>
      <c r="X16" s="6" t="s">
        <v>79</v>
      </c>
      <c r="Y16" s="6" t="s">
        <v>80</v>
      </c>
      <c r="Z16" s="5" t="s">
        <v>81</v>
      </c>
      <c r="AA16" s="5" t="s">
        <v>82</v>
      </c>
      <c r="AB16" s="5" t="s">
        <v>83</v>
      </c>
      <c r="AC16" s="6" t="s">
        <v>130</v>
      </c>
    </row>
    <row r="17" spans="5:30">
      <c r="G17" s="2" t="s">
        <v>85</v>
      </c>
      <c r="H17" s="2" t="s">
        <v>86</v>
      </c>
      <c r="I17" s="2" t="s">
        <v>87</v>
      </c>
      <c r="J17" s="2" t="s">
        <v>88</v>
      </c>
      <c r="K17" s="2" t="s">
        <v>91</v>
      </c>
      <c r="L17" s="2">
        <v>1.5</v>
      </c>
      <c r="M17" s="1">
        <v>45450</v>
      </c>
      <c r="N17" s="11" t="s">
        <v>105</v>
      </c>
      <c r="O17" s="2" t="s">
        <v>85</v>
      </c>
      <c r="P17" s="2" t="s">
        <v>86</v>
      </c>
      <c r="Q17" s="2" t="s">
        <v>87</v>
      </c>
      <c r="R17" s="2" t="s">
        <v>88</v>
      </c>
      <c r="S17" s="2" t="s">
        <v>91</v>
      </c>
      <c r="T17" s="2">
        <v>1.5</v>
      </c>
      <c r="U17" s="1">
        <v>45450</v>
      </c>
      <c r="V17" s="11" t="s">
        <v>105</v>
      </c>
      <c r="W17" s="2" t="s">
        <v>85</v>
      </c>
      <c r="X17" s="2" t="s">
        <v>86</v>
      </c>
      <c r="Y17" s="2" t="s">
        <v>87</v>
      </c>
      <c r="Z17" s="2" t="s">
        <v>88</v>
      </c>
      <c r="AA17" s="2" t="s">
        <v>91</v>
      </c>
      <c r="AB17" s="2">
        <v>1.5</v>
      </c>
      <c r="AC17" s="1">
        <v>45450</v>
      </c>
    </row>
    <row r="20" spans="5:30">
      <c r="F20" s="9">
        <v>45452</v>
      </c>
      <c r="G20" t="s">
        <v>102</v>
      </c>
      <c r="O20" t="s">
        <v>103</v>
      </c>
      <c r="W20" t="s">
        <v>104</v>
      </c>
    </row>
    <row r="21" spans="5:30">
      <c r="G21" s="7" t="s">
        <v>78</v>
      </c>
      <c r="H21" s="8" t="s">
        <v>79</v>
      </c>
      <c r="I21" s="8" t="s">
        <v>80</v>
      </c>
      <c r="J21" s="8" t="s">
        <v>81</v>
      </c>
      <c r="K21" s="8" t="s">
        <v>82</v>
      </c>
      <c r="L21" s="4" t="s">
        <v>83</v>
      </c>
      <c r="M21" s="8" t="s">
        <v>130</v>
      </c>
      <c r="O21" s="7" t="s">
        <v>78</v>
      </c>
      <c r="P21" s="8" t="s">
        <v>79</v>
      </c>
      <c r="Q21" s="8" t="s">
        <v>80</v>
      </c>
      <c r="R21" s="8" t="s">
        <v>81</v>
      </c>
      <c r="S21" s="8" t="s">
        <v>82</v>
      </c>
      <c r="T21" s="4" t="s">
        <v>83</v>
      </c>
      <c r="U21" s="8" t="s">
        <v>130</v>
      </c>
      <c r="W21" s="6" t="s">
        <v>78</v>
      </c>
      <c r="X21" s="6" t="s">
        <v>79</v>
      </c>
      <c r="Y21" s="6" t="s">
        <v>80</v>
      </c>
      <c r="Z21" s="5" t="s">
        <v>81</v>
      </c>
      <c r="AA21" s="5" t="s">
        <v>82</v>
      </c>
      <c r="AB21" s="5" t="s">
        <v>83</v>
      </c>
      <c r="AC21" s="6" t="s">
        <v>130</v>
      </c>
    </row>
    <row r="22" spans="5:30">
      <c r="G22" s="2" t="s">
        <v>85</v>
      </c>
      <c r="H22" s="2" t="s">
        <v>86</v>
      </c>
      <c r="I22" s="2" t="s">
        <v>87</v>
      </c>
      <c r="J22" s="2" t="s">
        <v>90</v>
      </c>
      <c r="K22" s="2" t="s">
        <v>89</v>
      </c>
      <c r="L22" s="2">
        <v>1.6</v>
      </c>
      <c r="M22" s="1">
        <v>45450</v>
      </c>
      <c r="N22" s="11" t="s">
        <v>105</v>
      </c>
      <c r="O22" s="2" t="s">
        <v>85</v>
      </c>
      <c r="P22" s="2" t="s">
        <v>86</v>
      </c>
      <c r="Q22" s="2" t="s">
        <v>87</v>
      </c>
      <c r="R22" s="2" t="s">
        <v>90</v>
      </c>
      <c r="S22" s="2" t="s">
        <v>89</v>
      </c>
      <c r="T22" s="2">
        <v>1.6</v>
      </c>
      <c r="U22" s="1">
        <v>45450</v>
      </c>
      <c r="V22" s="11" t="s">
        <v>105</v>
      </c>
      <c r="W22" s="2" t="s">
        <v>85</v>
      </c>
      <c r="X22" s="2" t="s">
        <v>86</v>
      </c>
      <c r="Y22" s="2" t="s">
        <v>87</v>
      </c>
      <c r="Z22" s="2" t="s">
        <v>90</v>
      </c>
      <c r="AA22" s="2" t="s">
        <v>89</v>
      </c>
      <c r="AB22" s="2">
        <v>1.5</v>
      </c>
      <c r="AC22" s="1">
        <v>45450</v>
      </c>
    </row>
    <row r="23" spans="5:30">
      <c r="G23" s="2" t="s">
        <v>85</v>
      </c>
      <c r="H23" s="2" t="s">
        <v>86</v>
      </c>
      <c r="I23" s="2" t="s">
        <v>87</v>
      </c>
      <c r="J23" s="2" t="s">
        <v>88</v>
      </c>
      <c r="K23" s="2" t="s">
        <v>91</v>
      </c>
      <c r="L23" s="2">
        <v>1.5</v>
      </c>
      <c r="M23" s="1">
        <v>45450</v>
      </c>
    </row>
    <row r="26" spans="5:30">
      <c r="E26" t="s">
        <v>109</v>
      </c>
    </row>
    <row r="28" spans="5:30">
      <c r="F28" s="9">
        <v>45452</v>
      </c>
      <c r="G28" t="s">
        <v>102</v>
      </c>
      <c r="O28" t="s">
        <v>103</v>
      </c>
      <c r="W28" t="s">
        <v>104</v>
      </c>
    </row>
    <row r="29" spans="5:30">
      <c r="G29" s="7" t="s">
        <v>78</v>
      </c>
      <c r="H29" s="8" t="s">
        <v>79</v>
      </c>
      <c r="I29" s="8" t="s">
        <v>80</v>
      </c>
      <c r="J29" s="8" t="s">
        <v>81</v>
      </c>
      <c r="K29" s="8" t="s">
        <v>82</v>
      </c>
      <c r="L29" s="4" t="s">
        <v>83</v>
      </c>
      <c r="M29" s="8" t="s">
        <v>130</v>
      </c>
      <c r="O29" s="7" t="s">
        <v>78</v>
      </c>
      <c r="P29" s="8" t="s">
        <v>79</v>
      </c>
      <c r="Q29" s="8" t="s">
        <v>80</v>
      </c>
      <c r="R29" s="8" t="s">
        <v>81</v>
      </c>
      <c r="S29" s="8" t="s">
        <v>82</v>
      </c>
      <c r="T29" s="4" t="s">
        <v>83</v>
      </c>
      <c r="U29" s="8" t="s">
        <v>130</v>
      </c>
      <c r="W29" s="6" t="s">
        <v>78</v>
      </c>
      <c r="X29" s="6" t="s">
        <v>79</v>
      </c>
      <c r="Y29" s="6" t="s">
        <v>80</v>
      </c>
      <c r="Z29" s="5" t="s">
        <v>81</v>
      </c>
      <c r="AA29" s="5" t="s">
        <v>82</v>
      </c>
      <c r="AB29" s="5" t="s">
        <v>83</v>
      </c>
      <c r="AC29" s="6" t="s">
        <v>130</v>
      </c>
    </row>
    <row r="30" spans="5:30">
      <c r="G30" s="2" t="s">
        <v>85</v>
      </c>
      <c r="H30" s="2" t="s">
        <v>86</v>
      </c>
      <c r="I30" s="2" t="s">
        <v>87</v>
      </c>
      <c r="J30" s="2" t="s">
        <v>90</v>
      </c>
      <c r="K30" s="2" t="s">
        <v>89</v>
      </c>
      <c r="L30" s="2">
        <v>1.6</v>
      </c>
      <c r="M30" s="1">
        <v>45450</v>
      </c>
      <c r="N30" s="11" t="s">
        <v>105</v>
      </c>
      <c r="O30" s="2" t="s">
        <v>85</v>
      </c>
      <c r="P30" s="2" t="s">
        <v>86</v>
      </c>
      <c r="Q30" s="2" t="s">
        <v>87</v>
      </c>
      <c r="R30" s="2" t="s">
        <v>90</v>
      </c>
      <c r="S30" s="2" t="s">
        <v>89</v>
      </c>
      <c r="T30" s="2">
        <v>1.6</v>
      </c>
      <c r="U30" s="1">
        <v>45450</v>
      </c>
      <c r="V30" s="11" t="s">
        <v>105</v>
      </c>
      <c r="W30" s="2" t="s">
        <v>85</v>
      </c>
      <c r="X30" s="2" t="s">
        <v>86</v>
      </c>
      <c r="Y30" s="2" t="s">
        <v>87</v>
      </c>
      <c r="Z30" s="2" t="s">
        <v>90</v>
      </c>
      <c r="AA30" s="2" t="s">
        <v>89</v>
      </c>
      <c r="AB30" s="2">
        <v>1.5</v>
      </c>
      <c r="AC30" s="1">
        <v>45450</v>
      </c>
      <c r="AD30" s="10" t="s">
        <v>132</v>
      </c>
    </row>
    <row r="31" spans="5:30">
      <c r="G31" s="2" t="s">
        <v>85</v>
      </c>
      <c r="H31" s="2" t="s">
        <v>86</v>
      </c>
      <c r="I31" s="2" t="s">
        <v>87</v>
      </c>
      <c r="J31" s="2" t="s">
        <v>88</v>
      </c>
      <c r="K31" s="2" t="s">
        <v>91</v>
      </c>
      <c r="L31" s="2">
        <v>1.5</v>
      </c>
      <c r="M31" s="1">
        <v>45450</v>
      </c>
      <c r="O31" s="2" t="s">
        <v>85</v>
      </c>
      <c r="P31" s="2" t="s">
        <v>86</v>
      </c>
      <c r="Q31" s="2" t="s">
        <v>87</v>
      </c>
      <c r="R31" s="2" t="s">
        <v>88</v>
      </c>
      <c r="S31" s="2" t="s">
        <v>91</v>
      </c>
      <c r="T31" s="2">
        <v>1.5</v>
      </c>
      <c r="U31" s="1">
        <v>45450</v>
      </c>
      <c r="V31" s="11" t="s">
        <v>105</v>
      </c>
      <c r="W31" s="10" t="s">
        <v>133</v>
      </c>
    </row>
    <row r="32" spans="5:30">
      <c r="G32" s="2" t="s">
        <v>112</v>
      </c>
      <c r="H32" s="2" t="s">
        <v>113</v>
      </c>
      <c r="I32" s="2" t="s">
        <v>87</v>
      </c>
      <c r="J32" s="2" t="s">
        <v>90</v>
      </c>
      <c r="K32" s="2" t="s">
        <v>89</v>
      </c>
      <c r="L32" s="2">
        <v>4.0999999999999996</v>
      </c>
      <c r="M32" s="1">
        <v>45450</v>
      </c>
      <c r="O32" s="2" t="s">
        <v>112</v>
      </c>
      <c r="P32" s="2" t="s">
        <v>113</v>
      </c>
      <c r="Q32" s="2" t="s">
        <v>87</v>
      </c>
      <c r="R32" s="2" t="s">
        <v>90</v>
      </c>
      <c r="S32" s="2" t="s">
        <v>89</v>
      </c>
      <c r="T32" s="2">
        <v>4.0999999999999996</v>
      </c>
      <c r="U32" s="1">
        <v>45450</v>
      </c>
      <c r="V32" s="11" t="s">
        <v>105</v>
      </c>
      <c r="W32" s="10" t="s">
        <v>134</v>
      </c>
    </row>
    <row r="34" spans="3:29">
      <c r="C34" t="s">
        <v>142</v>
      </c>
    </row>
    <row r="35" spans="3:29">
      <c r="D35" t="s">
        <v>143</v>
      </c>
    </row>
    <row r="38" spans="3:29">
      <c r="F38" s="9">
        <v>45452</v>
      </c>
      <c r="G38" t="s">
        <v>102</v>
      </c>
      <c r="O38" t="s">
        <v>103</v>
      </c>
      <c r="W38" t="s">
        <v>104</v>
      </c>
    </row>
    <row r="39" spans="3:29">
      <c r="G39" s="7" t="s">
        <v>78</v>
      </c>
      <c r="H39" s="8" t="s">
        <v>79</v>
      </c>
      <c r="I39" s="8" t="s">
        <v>80</v>
      </c>
      <c r="J39" s="8" t="s">
        <v>81</v>
      </c>
      <c r="K39" s="8" t="s">
        <v>82</v>
      </c>
      <c r="L39" s="4" t="s">
        <v>83</v>
      </c>
      <c r="M39" s="8" t="s">
        <v>130</v>
      </c>
      <c r="O39" s="7" t="s">
        <v>78</v>
      </c>
      <c r="P39" s="8" t="s">
        <v>79</v>
      </c>
      <c r="Q39" s="8" t="s">
        <v>80</v>
      </c>
      <c r="R39" s="8" t="s">
        <v>81</v>
      </c>
      <c r="S39" s="8" t="s">
        <v>82</v>
      </c>
      <c r="T39" s="4" t="s">
        <v>83</v>
      </c>
      <c r="U39" s="8" t="s">
        <v>130</v>
      </c>
      <c r="W39" s="6" t="s">
        <v>78</v>
      </c>
      <c r="X39" s="6" t="s">
        <v>79</v>
      </c>
      <c r="Y39" s="6" t="s">
        <v>80</v>
      </c>
      <c r="Z39" s="5" t="s">
        <v>81</v>
      </c>
      <c r="AA39" s="5" t="s">
        <v>82</v>
      </c>
      <c r="AB39" s="5" t="s">
        <v>83</v>
      </c>
      <c r="AC39" s="6" t="s">
        <v>130</v>
      </c>
    </row>
    <row r="40" spans="3:29">
      <c r="G40" s="2" t="s">
        <v>85</v>
      </c>
      <c r="H40" s="2" t="s">
        <v>86</v>
      </c>
      <c r="I40" s="2" t="s">
        <v>87</v>
      </c>
      <c r="J40" s="2" t="s">
        <v>90</v>
      </c>
      <c r="K40" s="2" t="s">
        <v>89</v>
      </c>
      <c r="L40" s="2">
        <v>1.6</v>
      </c>
      <c r="M40" s="1">
        <v>45450</v>
      </c>
      <c r="N40" s="11" t="s">
        <v>105</v>
      </c>
      <c r="O40" s="2" t="s">
        <v>85</v>
      </c>
      <c r="P40" s="2" t="s">
        <v>86</v>
      </c>
      <c r="Q40" s="2" t="s">
        <v>87</v>
      </c>
      <c r="R40" s="2" t="s">
        <v>90</v>
      </c>
      <c r="S40" s="2" t="s">
        <v>89</v>
      </c>
      <c r="T40" s="2">
        <v>1.6</v>
      </c>
      <c r="U40" s="1">
        <v>45450</v>
      </c>
      <c r="V40" s="11" t="s">
        <v>105</v>
      </c>
      <c r="W40" s="2" t="s">
        <v>85</v>
      </c>
      <c r="X40" s="2" t="s">
        <v>86</v>
      </c>
      <c r="Y40" s="2" t="s">
        <v>87</v>
      </c>
      <c r="Z40" s="2" t="s">
        <v>90</v>
      </c>
      <c r="AA40" s="2" t="s">
        <v>89</v>
      </c>
      <c r="AB40" s="2">
        <v>1.5</v>
      </c>
      <c r="AC40" s="1">
        <v>45450</v>
      </c>
    </row>
    <row r="41" spans="3:29">
      <c r="G41" s="2" t="s">
        <v>85</v>
      </c>
      <c r="H41" s="2" t="s">
        <v>86</v>
      </c>
      <c r="I41" s="2" t="s">
        <v>87</v>
      </c>
      <c r="J41" s="2" t="s">
        <v>88</v>
      </c>
      <c r="K41" s="2" t="s">
        <v>91</v>
      </c>
      <c r="L41" s="2">
        <v>1.5</v>
      </c>
      <c r="M41" s="1">
        <v>45450</v>
      </c>
      <c r="N41" s="11" t="s">
        <v>105</v>
      </c>
      <c r="O41" s="2" t="s">
        <v>85</v>
      </c>
      <c r="P41" s="2" t="s">
        <v>86</v>
      </c>
      <c r="Q41" s="2" t="s">
        <v>87</v>
      </c>
      <c r="R41" s="2" t="s">
        <v>88</v>
      </c>
      <c r="S41" s="2" t="s">
        <v>91</v>
      </c>
      <c r="T41" s="2">
        <v>1.5</v>
      </c>
      <c r="U41" s="1">
        <v>45450</v>
      </c>
      <c r="V41" s="11" t="s">
        <v>105</v>
      </c>
      <c r="W41" s="10" t="s">
        <v>144</v>
      </c>
    </row>
    <row r="42" spans="3:29">
      <c r="G42" s="2" t="s">
        <v>112</v>
      </c>
      <c r="H42" s="2" t="s">
        <v>113</v>
      </c>
      <c r="I42" s="2" t="s">
        <v>87</v>
      </c>
      <c r="J42" s="2" t="s">
        <v>90</v>
      </c>
      <c r="K42" s="2" t="s">
        <v>89</v>
      </c>
      <c r="L42" s="2">
        <v>4.0999999999999996</v>
      </c>
      <c r="M42" s="1">
        <v>45450</v>
      </c>
      <c r="N42" s="11" t="s">
        <v>105</v>
      </c>
      <c r="O42" s="2" t="s">
        <v>112</v>
      </c>
      <c r="P42" s="2" t="s">
        <v>113</v>
      </c>
      <c r="Q42" s="2" t="s">
        <v>87</v>
      </c>
      <c r="R42" s="2" t="s">
        <v>90</v>
      </c>
      <c r="S42" s="2" t="s">
        <v>89</v>
      </c>
      <c r="T42" s="2">
        <v>4.0999999999999996</v>
      </c>
      <c r="U42" s="1">
        <v>45450</v>
      </c>
      <c r="V42" s="11" t="s">
        <v>105</v>
      </c>
      <c r="W42" s="2" t="s">
        <v>112</v>
      </c>
      <c r="X42" s="2" t="s">
        <v>113</v>
      </c>
      <c r="Y42" s="2" t="s">
        <v>87</v>
      </c>
      <c r="Z42" s="2" t="s">
        <v>90</v>
      </c>
      <c r="AA42" s="2" t="s">
        <v>89</v>
      </c>
      <c r="AB42" s="2">
        <v>4.0999999999999996</v>
      </c>
      <c r="AC42" s="1">
        <v>45450</v>
      </c>
    </row>
    <row r="45" spans="3:29">
      <c r="D45" t="s">
        <v>145</v>
      </c>
    </row>
    <row r="46" spans="3:29">
      <c r="D46" t="s">
        <v>146</v>
      </c>
    </row>
    <row r="48" spans="3:29">
      <c r="C48" t="s">
        <v>147</v>
      </c>
    </row>
    <row r="49" spans="4:4">
      <c r="D49" t="s">
        <v>148</v>
      </c>
    </row>
    <row r="50" spans="4:4">
      <c r="D50" t="s">
        <v>149</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92B5E-78DE-46B4-B012-11259F84BC1D}"/>
</file>

<file path=customXml/itemProps2.xml><?xml version="1.0" encoding="utf-8"?>
<ds:datastoreItem xmlns:ds="http://schemas.openxmlformats.org/officeDocument/2006/customXml" ds:itemID="{3A5925CF-3A45-4BCF-9E79-EECD9D4724E5}"/>
</file>

<file path=customXml/itemProps3.xml><?xml version="1.0" encoding="utf-8"?>
<ds:datastoreItem xmlns:ds="http://schemas.openxmlformats.org/officeDocument/2006/customXml" ds:itemID="{254E561C-6E4F-4CE5-A2CE-1DAA2CC134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野村康二</cp:lastModifiedBy>
  <cp:revision/>
  <dcterms:created xsi:type="dcterms:W3CDTF">2015-06-05T18:19:34Z</dcterms:created>
  <dcterms:modified xsi:type="dcterms:W3CDTF">2025-09-12T10:43:50Z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