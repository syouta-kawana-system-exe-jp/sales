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" documentId="13_ncr:1_{D8755AE8-A680-4A17-8012-6228C9235AD2}" xr6:coauthVersionLast="47" xr6:coauthVersionMax="47" xr10:uidLastSave="{987F7187-A30A-4E0D-9E1E-7AAF8F6B7F3D}"/>
  <bookViews>
    <workbookView xWindow="-110" yWindow="-110" windowWidth="19420" windowHeight="1030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<sst xmlns="http://schemas.openxmlformats.org/spreadsheetml/2006/main" count="100" uniqueCount="84">
  <si>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</si>
  <si>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</si>
  <si>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</si>
  <si>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</si>
  <si>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ヤード操業システム クラウドアーキ移行（開発フェーズ）</t>
    <rPh sb="3" eb="5">
      <t>ソウギョウ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</si>
  <si>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</si>
  <si>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</si>
  <si>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</si>
  <si>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</si>
  <si>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</si>
  <si>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</si>
  <si>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</si>
  <si>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</si>
  <si>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</si>
  <si>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</si>
  <si>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</si>
  <si>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</si>
  <si>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</si>
  <si>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</si>
  <si>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</si>
  <si>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</si>
  <si>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</si>
  <si>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</si>
  <si>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</si>
  <si>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</si>
  <si>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</si>
  <si>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</si>
  <si>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石井徹</t>
    <rPh sb="0" eb="2">
      <t>イシイ</t>
    </rPh>
    <rPh sb="2" eb="3">
      <t>トオル</t>
    </rPh>
    <phoneticPr fontId="3"/>
  </si>
  <si>
    <t>ｸﾞｴﾝﾃｨﾝﾁｭﾝ</t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</si>
  <si>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</si>
  <si>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</si>
  <si>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</si>
  <si>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</si>
  <si>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</si>
  <si>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</si>
  <si>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</si>
  <si>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</si>
  <si>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</si>
  <si>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</si>
  <si>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</si>
  <si>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</si>
  <si>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</si>
  <si>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</si>
  <si>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DoNguyenThiThuyDuy</t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</si>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</sst>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125" defaultRowHeight="12.6"/>
  <cols>
    <col min="1" max="1" width="14.625" style="2" customWidth="1"/>
    <col min="2" max="2" width="7.625" style="2" bestFit="1" customWidth="1"/>
    <col min="3" max="3" width="14.625" style="2" customWidth="1"/>
    <col min="4" max="31" width="7" style="2" customWidth="1"/>
    <col min="32" max="32" width="7.62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25"/>
      <c r="F4" s="25"/>
      <c r="G4" s="5" t="s">
        <v>8</v>
      </c>
      <c r="H4" s="64">
        <f>AF59</f>
        <v>180</v>
      </c>
      <c r="I4" s="64"/>
      <c r="J4" s="5" t="s">
        <v>9</v>
      </c>
      <c r="K4" s="65">
        <f>外注費・経費!K4</f>
        <v>525000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35" t="s">
        <v>11</v>
      </c>
      <c r="B6" s="38" t="s">
        <v>12</v>
      </c>
      <c r="C6" s="38" t="s">
        <v>13</v>
      </c>
      <c r="D6" s="41" t="s">
        <v>14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15</v>
      </c>
    </row>
    <row r="7" spans="1:32" s="6" customFormat="1" ht="12" customHeight="1">
      <c r="A7" s="36"/>
      <c r="B7" s="39"/>
      <c r="C7" s="39"/>
      <c r="D7" s="29" t="s">
        <v>16</v>
      </c>
      <c r="E7" s="30"/>
      <c r="F7" s="31"/>
      <c r="G7" s="29" t="s">
        <v>17</v>
      </c>
      <c r="H7" s="30"/>
      <c r="I7" s="31"/>
      <c r="J7" s="29" t="s">
        <v>18</v>
      </c>
      <c r="K7" s="30"/>
      <c r="L7" s="31"/>
      <c r="M7" s="29" t="s">
        <v>19</v>
      </c>
      <c r="N7" s="30"/>
      <c r="O7" s="31"/>
      <c r="P7" s="29" t="s">
        <v>20</v>
      </c>
      <c r="Q7" s="30"/>
      <c r="R7" s="31"/>
      <c r="S7" s="29" t="s">
        <v>21</v>
      </c>
      <c r="T7" s="30"/>
      <c r="U7" s="31"/>
      <c r="V7" s="29" t="s">
        <v>22</v>
      </c>
      <c r="W7" s="30"/>
      <c r="X7" s="31"/>
      <c r="Y7" s="29" t="s">
        <v>23</v>
      </c>
      <c r="Z7" s="30"/>
      <c r="AA7" s="31"/>
      <c r="AB7" s="29" t="s">
        <v>24</v>
      </c>
      <c r="AC7" s="30"/>
      <c r="AD7" s="31"/>
      <c r="AE7" s="42" t="s">
        <v>25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26</v>
      </c>
      <c r="B9" s="8">
        <v>692</v>
      </c>
      <c r="C9" s="8" t="s">
        <v>27</v>
      </c>
      <c r="D9" s="22"/>
      <c r="E9" s="22"/>
      <c r="F9" s="22"/>
      <c r="G9" s="22"/>
      <c r="H9" s="22"/>
      <c r="I9" s="22"/>
      <c r="J9" s="22"/>
      <c r="K9" s="22">
        <v>40</v>
      </c>
      <c r="L9" s="22">
        <v>20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60</v>
      </c>
    </row>
    <row r="10" spans="1:32">
      <c r="A10" s="21" t="s">
        <v>26</v>
      </c>
      <c r="B10" s="8">
        <v>1820</v>
      </c>
      <c r="C10" s="8" t="s">
        <v>28</v>
      </c>
      <c r="D10" s="22"/>
      <c r="E10" s="22"/>
      <c r="F10" s="22"/>
      <c r="G10" s="22"/>
      <c r="H10" s="22"/>
      <c r="I10" s="22"/>
      <c r="J10" s="22"/>
      <c r="K10" s="22">
        <v>80</v>
      </c>
      <c r="L10" s="22">
        <v>40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120</v>
      </c>
    </row>
    <row r="11" spans="1:32">
      <c r="A11" s="21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15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120</v>
      </c>
      <c r="L59" s="23">
        <f t="shared" si="1"/>
        <v>60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180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>
      <selection activeCell="C13" sqref="C13"/>
    </sheetView>
  </sheetViews>
  <sheetFormatPr defaultColWidth="8.125" defaultRowHeight="12.6"/>
  <cols>
    <col min="1" max="1" width="14.625" style="2" customWidth="1"/>
    <col min="2" max="2" width="7.625" style="2" customWidth="1"/>
    <col min="3" max="3" width="14.625" style="2" customWidth="1"/>
    <col min="4" max="31" width="8.12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tr">
        <f>社員工数!E3</f>
        <v>ヤード操業システム クラウドアーキ移行（開発フェーズ）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30</v>
      </c>
      <c r="C4" s="62"/>
      <c r="D4" s="11" t="s">
        <v>7</v>
      </c>
      <c r="E4" s="43">
        <f>社員工数!E4</f>
        <v>0</v>
      </c>
      <c r="F4" s="43"/>
      <c r="G4" s="11" t="s">
        <v>8</v>
      </c>
      <c r="H4" s="64">
        <f>社員工数!H4</f>
        <v>180</v>
      </c>
      <c r="I4" s="64"/>
      <c r="J4" s="11" t="s">
        <v>9</v>
      </c>
      <c r="K4" s="66">
        <f>AF59</f>
        <v>525000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11</v>
      </c>
      <c r="B6" s="53" t="s">
        <v>31</v>
      </c>
      <c r="C6" s="53" t="s">
        <v>13</v>
      </c>
      <c r="D6" s="56" t="s">
        <v>32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15</v>
      </c>
    </row>
    <row r="7" spans="1:32" s="6" customFormat="1" ht="12" customHeight="1">
      <c r="A7" s="51"/>
      <c r="B7" s="54"/>
      <c r="C7" s="54"/>
      <c r="D7" s="47" t="s">
        <v>33</v>
      </c>
      <c r="E7" s="48"/>
      <c r="F7" s="49"/>
      <c r="G7" s="47" t="s">
        <v>34</v>
      </c>
      <c r="H7" s="48"/>
      <c r="I7" s="49"/>
      <c r="J7" s="47" t="s">
        <v>35</v>
      </c>
      <c r="K7" s="48"/>
      <c r="L7" s="49"/>
      <c r="M7" s="47" t="s">
        <v>36</v>
      </c>
      <c r="N7" s="48"/>
      <c r="O7" s="49"/>
      <c r="P7" s="47" t="s">
        <v>37</v>
      </c>
      <c r="Q7" s="48"/>
      <c r="R7" s="49"/>
      <c r="S7" s="47" t="s">
        <v>38</v>
      </c>
      <c r="T7" s="48"/>
      <c r="U7" s="49"/>
      <c r="V7" s="47" t="s">
        <v>39</v>
      </c>
      <c r="W7" s="48"/>
      <c r="X7" s="49"/>
      <c r="Y7" s="47" t="s">
        <v>40</v>
      </c>
      <c r="Z7" s="48"/>
      <c r="AA7" s="49"/>
      <c r="AB7" s="47" t="s">
        <v>41</v>
      </c>
      <c r="AC7" s="48"/>
      <c r="AD7" s="49"/>
      <c r="AE7" s="57" t="s">
        <v>25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42</v>
      </c>
      <c r="B9" s="14">
        <v>4657</v>
      </c>
      <c r="C9" s="13" t="s">
        <v>43</v>
      </c>
      <c r="D9" s="13"/>
      <c r="E9" s="13"/>
      <c r="F9" s="13"/>
      <c r="G9" s="13"/>
      <c r="H9" s="13"/>
      <c r="I9" s="13"/>
      <c r="J9" s="13"/>
      <c r="K9" s="13">
        <v>350000</v>
      </c>
      <c r="L9" s="13">
        <v>175000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525000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15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350000</v>
      </c>
      <c r="L59" s="15">
        <f t="shared" si="1"/>
        <v>175000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525000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A10:A58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125" style="18" bestFit="1" customWidth="1"/>
    <col min="7" max="7" width="11.125" style="18" customWidth="1"/>
    <col min="8" max="8" width="5.625" style="18" customWidth="1"/>
    <col min="9" max="9" width="11.62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44</v>
      </c>
      <c r="B1" s="17" t="s">
        <v>45</v>
      </c>
      <c r="C1" s="60" t="s">
        <v>46</v>
      </c>
      <c r="D1" s="60" t="s">
        <v>47</v>
      </c>
      <c r="E1" s="60" t="s">
        <v>48</v>
      </c>
      <c r="F1" s="60" t="s">
        <v>49</v>
      </c>
      <c r="G1" s="60" t="s">
        <v>50</v>
      </c>
      <c r="H1" s="58" t="s">
        <v>51</v>
      </c>
      <c r="I1" s="59"/>
      <c r="J1" s="60" t="s">
        <v>52</v>
      </c>
      <c r="K1" s="60" t="s">
        <v>53</v>
      </c>
      <c r="L1" s="60" t="s">
        <v>54</v>
      </c>
    </row>
    <row r="2" spans="1:12">
      <c r="A2" s="60"/>
      <c r="B2" s="17" t="s">
        <v>55</v>
      </c>
      <c r="C2" s="60"/>
      <c r="D2" s="60"/>
      <c r="E2" s="60"/>
      <c r="F2" s="60"/>
      <c r="G2" s="60"/>
      <c r="H2" s="17" t="s">
        <v>44</v>
      </c>
      <c r="I2" s="17" t="s">
        <v>56</v>
      </c>
      <c r="J2" s="60"/>
      <c r="K2" s="60"/>
      <c r="L2" s="60"/>
    </row>
    <row r="3" spans="1:12">
      <c r="A3" s="19">
        <v>1</v>
      </c>
      <c r="B3" s="20">
        <v>0.1</v>
      </c>
      <c r="C3" s="19" t="s">
        <v>57</v>
      </c>
      <c r="D3" s="19" t="s">
        <v>58</v>
      </c>
      <c r="E3" s="19" t="s">
        <v>59</v>
      </c>
      <c r="F3" s="19" t="s">
        <v>60</v>
      </c>
      <c r="G3" s="19" t="s">
        <v>61</v>
      </c>
      <c r="H3" s="19">
        <v>1</v>
      </c>
      <c r="I3" s="19" t="s">
        <v>62</v>
      </c>
      <c r="J3" s="19" t="s">
        <v>63</v>
      </c>
      <c r="K3" s="19" t="s">
        <v>26</v>
      </c>
      <c r="L3" s="19" t="s">
        <v>64</v>
      </c>
    </row>
    <row r="4" spans="1:12">
      <c r="A4" s="19">
        <v>2</v>
      </c>
      <c r="B4" s="20"/>
      <c r="C4" s="19"/>
      <c r="D4" s="19"/>
      <c r="E4" s="19" t="s">
        <v>65</v>
      </c>
      <c r="F4" s="19" t="s">
        <v>66</v>
      </c>
      <c r="G4" s="19" t="s">
        <v>67</v>
      </c>
      <c r="H4" s="19">
        <v>2</v>
      </c>
      <c r="I4" s="19" t="s">
        <v>68</v>
      </c>
      <c r="J4" s="19" t="s">
        <v>69</v>
      </c>
      <c r="K4" s="19" t="s">
        <v>70</v>
      </c>
      <c r="L4" s="19" t="s">
        <v>71</v>
      </c>
    </row>
    <row r="5" spans="1:12">
      <c r="A5" s="19">
        <v>3</v>
      </c>
      <c r="B5" s="19"/>
      <c r="C5" s="19"/>
      <c r="D5" s="19"/>
      <c r="E5" s="19"/>
      <c r="F5" s="19" t="s">
        <v>72</v>
      </c>
      <c r="G5" s="19" t="s">
        <v>73</v>
      </c>
      <c r="H5" s="19">
        <v>3</v>
      </c>
      <c r="I5" s="19" t="s">
        <v>74</v>
      </c>
      <c r="J5" s="19" t="s">
        <v>75</v>
      </c>
      <c r="K5" s="19" t="s">
        <v>76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77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78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79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80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81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82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83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A60F8-E17A-4040-9F5A-9546630000D3}"/>
</file>

<file path=customXml/itemProps2.xml><?xml version="1.0" encoding="utf-8"?>
<ds:datastoreItem xmlns:ds="http://schemas.openxmlformats.org/officeDocument/2006/customXml" ds:itemID="{6FCB4868-7481-4F0D-9DFA-27113FC418E8}"/>
</file>

<file path=customXml/itemProps3.xml><?xml version="1.0" encoding="utf-8"?>
<ds:datastoreItem xmlns:ds="http://schemas.openxmlformats.org/officeDocument/2006/customXml" ds:itemID="{31E6A4BA-F386-4DF4-9C1E-5FC1525CA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2025-10-30T10:12:14Z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